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0E4EA3DEA0B523/Desktop/creditos/facturas/"/>
    </mc:Choice>
  </mc:AlternateContent>
  <xr:revisionPtr revIDLastSave="0" documentId="11_21082202B7D33F80DDCD1AFB2B819177F2CB411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 CARACAS" sheetId="1" r:id="rId1"/>
    <sheet name="Hoja1" sheetId="2" r:id="rId2"/>
  </sheets>
  <definedNames>
    <definedName name="_xlnm._FilterDatabase" localSheetId="0" hidden="1">'FACT CARACAS'!$B$1:$BO$131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26" i="1"/>
  <c r="F27" i="1"/>
  <c r="F28" i="1"/>
  <c r="F29" i="1"/>
  <c r="F30" i="1"/>
  <c r="F34" i="1"/>
  <c r="F50" i="1"/>
  <c r="F51" i="1"/>
  <c r="F52" i="1"/>
  <c r="F53" i="1"/>
  <c r="F54" i="1"/>
  <c r="F58" i="1"/>
  <c r="F65" i="1"/>
  <c r="F67" i="1"/>
  <c r="F68" i="1"/>
  <c r="F69" i="1"/>
  <c r="F71" i="1"/>
  <c r="F73" i="1"/>
  <c r="F81" i="1"/>
  <c r="F82" i="1"/>
  <c r="F86" i="1"/>
  <c r="F88" i="1"/>
  <c r="F92" i="1"/>
  <c r="F94" i="1"/>
  <c r="F100" i="1"/>
  <c r="F101" i="1"/>
  <c r="F102" i="1"/>
  <c r="F103" i="1"/>
  <c r="F104" i="1"/>
  <c r="F106" i="1"/>
  <c r="F112" i="1"/>
  <c r="F113" i="1"/>
  <c r="F114" i="1"/>
  <c r="F115" i="1"/>
  <c r="F116" i="1"/>
  <c r="F118" i="1"/>
  <c r="F124" i="1"/>
  <c r="F125" i="1"/>
  <c r="F126" i="1"/>
  <c r="F127" i="1"/>
  <c r="F128" i="1"/>
  <c r="F133" i="1"/>
  <c r="F141" i="1"/>
  <c r="F142" i="1"/>
  <c r="F143" i="1"/>
  <c r="F144" i="1"/>
  <c r="F145" i="1"/>
  <c r="F147" i="1"/>
  <c r="E5" i="1"/>
  <c r="F5" i="1" s="1"/>
  <c r="E6" i="1"/>
  <c r="E7" i="1"/>
  <c r="F7" i="1" s="1"/>
  <c r="E10" i="1"/>
  <c r="F10" i="1" s="1"/>
  <c r="E11" i="1"/>
  <c r="F11" i="1" s="1"/>
  <c r="E13" i="1"/>
  <c r="F13" i="1" s="1"/>
  <c r="E20" i="1"/>
  <c r="F20" i="1" s="1"/>
  <c r="E26" i="1"/>
  <c r="E27" i="1"/>
  <c r="E28" i="1"/>
  <c r="E29" i="1"/>
  <c r="E30" i="1"/>
  <c r="E31" i="1"/>
  <c r="F31" i="1" s="1"/>
  <c r="E34" i="1"/>
  <c r="E35" i="1"/>
  <c r="F35" i="1" s="1"/>
  <c r="E37" i="1"/>
  <c r="F37" i="1" s="1"/>
  <c r="E38" i="1"/>
  <c r="F38" i="1" s="1"/>
  <c r="E39" i="1"/>
  <c r="F39" i="1" s="1"/>
  <c r="E40" i="1"/>
  <c r="F40" i="1" s="1"/>
  <c r="E50" i="1"/>
  <c r="E51" i="1"/>
  <c r="E52" i="1"/>
  <c r="E53" i="1"/>
  <c r="E54" i="1"/>
  <c r="E57" i="1"/>
  <c r="F57" i="1" s="1"/>
  <c r="E58" i="1"/>
  <c r="E59" i="1"/>
  <c r="F59" i="1" s="1"/>
  <c r="E60" i="1"/>
  <c r="F60" i="1" s="1"/>
  <c r="E61" i="1"/>
  <c r="F61" i="1" s="1"/>
  <c r="E62" i="1"/>
  <c r="F62" i="1" s="1"/>
  <c r="E63" i="1"/>
  <c r="F63" i="1" s="1"/>
  <c r="E65" i="1"/>
  <c r="E67" i="1"/>
  <c r="E68" i="1"/>
  <c r="E69" i="1"/>
  <c r="E71" i="1"/>
  <c r="E72" i="1"/>
  <c r="F72" i="1" s="1"/>
  <c r="E73" i="1"/>
  <c r="E74" i="1"/>
  <c r="F74" i="1" s="1"/>
  <c r="E76" i="1"/>
  <c r="F76" i="1" s="1"/>
  <c r="E78" i="1"/>
  <c r="F78" i="1" s="1"/>
  <c r="E79" i="1"/>
  <c r="F79" i="1" s="1"/>
  <c r="E80" i="1"/>
  <c r="F80" i="1" s="1"/>
  <c r="E81" i="1"/>
  <c r="E82" i="1"/>
  <c r="E86" i="1"/>
  <c r="E88" i="1"/>
  <c r="E92" i="1"/>
  <c r="E93" i="1"/>
  <c r="F93" i="1" s="1"/>
  <c r="E94" i="1"/>
  <c r="E95" i="1"/>
  <c r="F95" i="1" s="1"/>
  <c r="E96" i="1"/>
  <c r="F96" i="1" s="1"/>
  <c r="E97" i="1"/>
  <c r="F97" i="1" s="1"/>
  <c r="E98" i="1"/>
  <c r="F98" i="1" s="1"/>
  <c r="E99" i="1"/>
  <c r="F99" i="1" s="1"/>
  <c r="E100" i="1"/>
  <c r="E101" i="1"/>
  <c r="E102" i="1"/>
  <c r="E103" i="1"/>
  <c r="E104" i="1"/>
  <c r="E105" i="1"/>
  <c r="F105" i="1" s="1"/>
  <c r="E106" i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E113" i="1"/>
  <c r="E114" i="1"/>
  <c r="E115" i="1"/>
  <c r="E116" i="1"/>
  <c r="E117" i="1"/>
  <c r="F117" i="1" s="1"/>
  <c r="E118" i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E125" i="1"/>
  <c r="E126" i="1"/>
  <c r="E127" i="1"/>
  <c r="E128" i="1"/>
  <c r="E129" i="1"/>
  <c r="F129" i="1" s="1"/>
  <c r="E133" i="1"/>
  <c r="E135" i="1"/>
  <c r="F135" i="1" s="1"/>
  <c r="E136" i="1"/>
  <c r="F136" i="1" s="1"/>
  <c r="E138" i="1"/>
  <c r="F138" i="1" s="1"/>
  <c r="E139" i="1"/>
  <c r="F139" i="1" s="1"/>
  <c r="E140" i="1"/>
  <c r="F140" i="1" s="1"/>
  <c r="E141" i="1"/>
  <c r="E142" i="1"/>
  <c r="E143" i="1"/>
  <c r="E144" i="1"/>
  <c r="E145" i="1"/>
  <c r="E146" i="1"/>
  <c r="F146" i="1" s="1"/>
  <c r="E147" i="1"/>
  <c r="E148" i="1"/>
  <c r="F148" i="1" s="1"/>
  <c r="E150" i="1"/>
  <c r="F150" i="1" s="1"/>
  <c r="E151" i="1"/>
  <c r="F151" i="1" s="1"/>
  <c r="E3" i="1"/>
  <c r="F3" i="1" s="1"/>
  <c r="AY133" i="1" l="1"/>
  <c r="AT134" i="1"/>
  <c r="AT133" i="1"/>
  <c r="AO134" i="1"/>
  <c r="AO133" i="1"/>
  <c r="AJ134" i="1"/>
  <c r="AJ133" i="1"/>
  <c r="AE133" i="1"/>
  <c r="AE134" i="1"/>
  <c r="AE132" i="1"/>
  <c r="Z133" i="1" l="1"/>
  <c r="Z134" i="1"/>
  <c r="Z132" i="1"/>
  <c r="U131" i="1"/>
  <c r="U132" i="1"/>
  <c r="U133" i="1"/>
  <c r="U134" i="1"/>
  <c r="U136" i="1"/>
  <c r="P131" i="1"/>
  <c r="P132" i="1"/>
  <c r="P133" i="1"/>
  <c r="P134" i="1"/>
  <c r="P136" i="1"/>
  <c r="P138" i="1"/>
  <c r="P139" i="1"/>
  <c r="P140" i="1"/>
  <c r="P141" i="1"/>
  <c r="P144" i="1"/>
  <c r="P145" i="1"/>
  <c r="P146" i="1"/>
  <c r="J131" i="1"/>
  <c r="K131" i="1" s="1"/>
  <c r="J132" i="1"/>
  <c r="K132" i="1" s="1"/>
  <c r="J133" i="1"/>
  <c r="K133" i="1"/>
  <c r="J134" i="1"/>
  <c r="K134" i="1" s="1"/>
  <c r="J135" i="1"/>
  <c r="K135" i="1"/>
  <c r="J136" i="1"/>
  <c r="K136" i="1" s="1"/>
  <c r="J137" i="1"/>
  <c r="K137" i="1"/>
  <c r="J138" i="1"/>
  <c r="K138" i="1"/>
  <c r="J139" i="1"/>
  <c r="K139" i="1"/>
  <c r="J140" i="1"/>
  <c r="K140" i="1" s="1"/>
  <c r="J141" i="1"/>
  <c r="K141" i="1"/>
  <c r="J142" i="1"/>
  <c r="K142" i="1" s="1"/>
  <c r="J143" i="1"/>
  <c r="K143" i="1" s="1"/>
  <c r="J144" i="1"/>
  <c r="K144" i="1"/>
  <c r="J145" i="1"/>
  <c r="K145" i="1" s="1"/>
  <c r="J146" i="1"/>
  <c r="K146" i="1"/>
  <c r="J147" i="1"/>
  <c r="K147" i="1"/>
  <c r="J148" i="1"/>
  <c r="K148" i="1" s="1"/>
  <c r="J149" i="1"/>
  <c r="K149" i="1" s="1"/>
  <c r="J150" i="1"/>
  <c r="K150" i="1" s="1"/>
  <c r="J151" i="1"/>
  <c r="K151" i="1"/>
  <c r="P110" i="1" l="1"/>
  <c r="J3" i="1" l="1"/>
  <c r="J4" i="1"/>
  <c r="J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2" i="1"/>
  <c r="BN19" i="1"/>
  <c r="BI19" i="1"/>
  <c r="AY33" i="1"/>
  <c r="AY19" i="1"/>
  <c r="AY23" i="1"/>
  <c r="AT23" i="1"/>
  <c r="AO27" i="1"/>
  <c r="AO23" i="1"/>
  <c r="AO9" i="1"/>
  <c r="AO3" i="1"/>
  <c r="AJ28" i="1"/>
  <c r="AJ27" i="1"/>
  <c r="AJ23" i="1"/>
  <c r="AJ9" i="1"/>
  <c r="AE28" i="1"/>
  <c r="AE27" i="1"/>
  <c r="AE23" i="1"/>
  <c r="Z34" i="1"/>
  <c r="Z28" i="1"/>
  <c r="U34" i="1"/>
  <c r="K3" i="1" l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2" i="1"/>
  <c r="AY131" i="1" l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2" i="1"/>
  <c r="AY31" i="1"/>
  <c r="AY30" i="1"/>
  <c r="AY29" i="1"/>
  <c r="AY28" i="1"/>
  <c r="AY27" i="1"/>
  <c r="AY26" i="1"/>
  <c r="AY25" i="1"/>
  <c r="AY22" i="1"/>
  <c r="AY21" i="1"/>
  <c r="AY20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  <c r="BD19" i="1"/>
  <c r="AT6" i="1"/>
  <c r="AT19" i="1"/>
  <c r="AT20" i="1"/>
  <c r="AT24" i="1"/>
  <c r="AT26" i="1"/>
  <c r="AT33" i="1"/>
  <c r="AO7" i="1"/>
  <c r="AO19" i="1"/>
  <c r="AO20" i="1"/>
  <c r="AO24" i="1"/>
  <c r="AO26" i="1"/>
  <c r="AO33" i="1"/>
  <c r="AO49" i="1"/>
  <c r="AJ3" i="1"/>
  <c r="AJ6" i="1"/>
  <c r="AJ7" i="1"/>
  <c r="AJ14" i="1"/>
  <c r="AJ15" i="1"/>
  <c r="AJ19" i="1"/>
  <c r="AJ20" i="1"/>
  <c r="AJ21" i="1"/>
  <c r="AJ24" i="1"/>
  <c r="AJ33" i="1"/>
  <c r="AJ38" i="1"/>
  <c r="AJ46" i="1"/>
  <c r="AJ49" i="1"/>
  <c r="AJ56" i="1"/>
  <c r="AJ60" i="1"/>
  <c r="AJ61" i="1"/>
  <c r="AJ89" i="1"/>
  <c r="AJ2" i="1"/>
  <c r="AE3" i="1"/>
  <c r="AE6" i="1"/>
  <c r="AE7" i="1"/>
  <c r="AE9" i="1"/>
  <c r="AE10" i="1"/>
  <c r="AE12" i="1"/>
  <c r="AE14" i="1"/>
  <c r="AE15" i="1"/>
  <c r="AE17" i="1"/>
  <c r="AE19" i="1"/>
  <c r="AE20" i="1"/>
  <c r="AE21" i="1"/>
  <c r="AE22" i="1"/>
  <c r="AE24" i="1"/>
  <c r="AE33" i="1"/>
  <c r="AE37" i="1"/>
  <c r="AE38" i="1"/>
  <c r="AE39" i="1"/>
  <c r="AE41" i="1"/>
  <c r="AE43" i="1"/>
  <c r="AE45" i="1"/>
  <c r="AE46" i="1"/>
  <c r="AE49" i="1"/>
  <c r="AE51" i="1"/>
  <c r="AE52" i="1"/>
  <c r="AE56" i="1"/>
  <c r="AE60" i="1"/>
  <c r="AE61" i="1"/>
  <c r="AE62" i="1"/>
  <c r="AE65" i="1"/>
  <c r="AE67" i="1"/>
  <c r="AE73" i="1"/>
  <c r="AE89" i="1"/>
  <c r="AE2" i="1"/>
  <c r="Z3" i="1"/>
  <c r="Z6" i="1"/>
  <c r="Z7" i="1"/>
  <c r="Z9" i="1"/>
  <c r="Z10" i="1"/>
  <c r="Z12" i="1"/>
  <c r="Z14" i="1"/>
  <c r="Z15" i="1"/>
  <c r="Z17" i="1"/>
  <c r="Z19" i="1"/>
  <c r="Z20" i="1"/>
  <c r="Z21" i="1"/>
  <c r="Z22" i="1"/>
  <c r="Z23" i="1"/>
  <c r="Z24" i="1"/>
  <c r="Z25" i="1"/>
  <c r="Z26" i="1"/>
  <c r="Z27" i="1"/>
  <c r="Z33" i="1"/>
  <c r="Z36" i="1"/>
  <c r="Z37" i="1"/>
  <c r="Z38" i="1"/>
  <c r="Z39" i="1"/>
  <c r="Z41" i="1"/>
  <c r="Z43" i="1"/>
  <c r="Z45" i="1"/>
  <c r="Z46" i="1"/>
  <c r="Z47" i="1"/>
  <c r="Z48" i="1"/>
  <c r="Z49" i="1"/>
  <c r="Z50" i="1"/>
  <c r="Z51" i="1"/>
  <c r="Z52" i="1"/>
  <c r="Z54" i="1"/>
  <c r="Z56" i="1"/>
  <c r="Z58" i="1"/>
  <c r="Z60" i="1"/>
  <c r="Z61" i="1"/>
  <c r="Z62" i="1"/>
  <c r="Z64" i="1"/>
  <c r="Z65" i="1"/>
  <c r="Z67" i="1"/>
  <c r="Z72" i="1"/>
  <c r="Z73" i="1"/>
  <c r="Z74" i="1"/>
  <c r="Z79" i="1"/>
  <c r="Z81" i="1"/>
  <c r="Z84" i="1"/>
  <c r="Z89" i="1"/>
  <c r="Z91" i="1"/>
  <c r="Z93" i="1"/>
  <c r="Z94" i="1"/>
  <c r="Z110" i="1"/>
  <c r="Z128" i="1"/>
  <c r="Z2" i="1"/>
  <c r="U3" i="1"/>
  <c r="U4" i="1"/>
  <c r="U5" i="1"/>
  <c r="U6" i="1"/>
  <c r="U7" i="1"/>
  <c r="U9" i="1"/>
  <c r="U10" i="1"/>
  <c r="U11" i="1"/>
  <c r="U12" i="1"/>
  <c r="U14" i="1"/>
  <c r="U15" i="1"/>
  <c r="U17" i="1"/>
  <c r="U18" i="1"/>
  <c r="U19" i="1"/>
  <c r="U20" i="1"/>
  <c r="U21" i="1"/>
  <c r="U22" i="1"/>
  <c r="U23" i="1"/>
  <c r="U24" i="1"/>
  <c r="U25" i="1"/>
  <c r="U26" i="1"/>
  <c r="U27" i="1"/>
  <c r="U28" i="1"/>
  <c r="U33" i="1"/>
  <c r="U36" i="1"/>
  <c r="U37" i="1"/>
  <c r="U38" i="1"/>
  <c r="U39" i="1"/>
  <c r="U40" i="1"/>
  <c r="U41" i="1"/>
  <c r="U43" i="1"/>
  <c r="U45" i="1"/>
  <c r="U46" i="1"/>
  <c r="U47" i="1"/>
  <c r="U48" i="1"/>
  <c r="U49" i="1"/>
  <c r="U50" i="1"/>
  <c r="U51" i="1"/>
  <c r="U52" i="1"/>
  <c r="U54" i="1"/>
  <c r="U56" i="1"/>
  <c r="U58" i="1"/>
  <c r="U59" i="1"/>
  <c r="U60" i="1"/>
  <c r="U61" i="1"/>
  <c r="U63" i="1"/>
  <c r="U64" i="1"/>
  <c r="U65" i="1"/>
  <c r="U66" i="1"/>
  <c r="U67" i="1"/>
  <c r="U71" i="1"/>
  <c r="U72" i="1"/>
  <c r="U73" i="1"/>
  <c r="U74" i="1"/>
  <c r="U77" i="1"/>
  <c r="U78" i="1"/>
  <c r="U79" i="1"/>
  <c r="U80" i="1"/>
  <c r="U81" i="1"/>
  <c r="U84" i="1"/>
  <c r="U86" i="1"/>
  <c r="U88" i="1"/>
  <c r="U89" i="1"/>
  <c r="U91" i="1"/>
  <c r="U93" i="1"/>
  <c r="U94" i="1"/>
  <c r="U97" i="1"/>
  <c r="U98" i="1"/>
  <c r="U99" i="1"/>
  <c r="U100" i="1"/>
  <c r="U101" i="1"/>
  <c r="U102" i="1"/>
  <c r="U103" i="1"/>
  <c r="U104" i="1"/>
  <c r="U106" i="1"/>
  <c r="U108" i="1"/>
  <c r="U109" i="1"/>
  <c r="U110" i="1"/>
  <c r="U111" i="1"/>
  <c r="U112" i="1"/>
  <c r="U113" i="1"/>
  <c r="U114" i="1"/>
  <c r="U121" i="1"/>
  <c r="U122" i="1"/>
  <c r="U123" i="1"/>
  <c r="U128" i="1"/>
  <c r="U130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2" i="1"/>
  <c r="AK6" i="1"/>
  <c r="J6" i="1" s="1"/>
  <c r="K6" i="1" l="1"/>
  <c r="AO6" i="1"/>
</calcChain>
</file>

<file path=xl/sharedStrings.xml><?xml version="1.0" encoding="utf-8"?>
<sst xmlns="http://schemas.openxmlformats.org/spreadsheetml/2006/main" count="221" uniqueCount="211">
  <si>
    <t>N°</t>
  </si>
  <si>
    <t>N° FACTURA</t>
  </si>
  <si>
    <t>NOMBRE Y APELLIDO</t>
  </si>
  <si>
    <t>MONTO DE FACTURA</t>
  </si>
  <si>
    <t>CEDULA</t>
  </si>
  <si>
    <t>MONTO DEPOSITADOS</t>
  </si>
  <si>
    <t>DEUDA</t>
  </si>
  <si>
    <t>COUTA 1</t>
  </si>
  <si>
    <t>COUTA 2</t>
  </si>
  <si>
    <t>COUTA 3</t>
  </si>
  <si>
    <t>COUTA 4</t>
  </si>
  <si>
    <t>COUTA 6</t>
  </si>
  <si>
    <t>COUTA 7</t>
  </si>
  <si>
    <t>COUTA 8</t>
  </si>
  <si>
    <t>COUTA 9</t>
  </si>
  <si>
    <t>RICARDO ANTONIO GARCIA GONZALEZ</t>
  </si>
  <si>
    <t>YAZMIN SOLEDAD</t>
  </si>
  <si>
    <t>LIBIA CARIOLIS CARDENAS MUJICA</t>
  </si>
  <si>
    <t>SERGIO RAFAEL ZAPATA</t>
  </si>
  <si>
    <t xml:space="preserve">YULECSI JEARBILEC LUGO DE SOLARTE </t>
  </si>
  <si>
    <t>PETER MANUEL GONZALEZ GONZALEZ</t>
  </si>
  <si>
    <t>MARIELA DEL CARMEN OSORIO MONTILLA</t>
  </si>
  <si>
    <t xml:space="preserve">MATIAS FARFAN </t>
  </si>
  <si>
    <t>000384</t>
  </si>
  <si>
    <t>MAYRA AURISTELA ARTEAGA CARRILLO</t>
  </si>
  <si>
    <t>PEDRO RAFAEL HERNANDEZ SABARIEGO</t>
  </si>
  <si>
    <t>JOSE ALEXANDER GONZALEZ CASTILLO</t>
  </si>
  <si>
    <t>OSORIO RODRIGUEZ YUDITH MAITEE</t>
  </si>
  <si>
    <t>JESULIDE ABACHE</t>
  </si>
  <si>
    <t>JOSE BRICEÑO</t>
  </si>
  <si>
    <t>ALEXIS JOSE BENITEZ ROMERO</t>
  </si>
  <si>
    <t>EDWAR ANTONIO CHIRINOS CAMACHO</t>
  </si>
  <si>
    <t>JOSE ANGEL BALDAN</t>
  </si>
  <si>
    <t>DOUGLAS JOSE ARTEAGA MENDEZ</t>
  </si>
  <si>
    <t>MANUEL EDUARDO GUTIERREZ</t>
  </si>
  <si>
    <t xml:space="preserve">LUIS FELIPE MAGO HERRERA </t>
  </si>
  <si>
    <t>JENNIFFER PIMENTEL AGUILAR</t>
  </si>
  <si>
    <t>KISSBELL NAIROBIS GONZALEZ</t>
  </si>
  <si>
    <t>JESUS EDUARDO ROSALES TORRES</t>
  </si>
  <si>
    <t>JOSE GREGORIO LEAL ROJO</t>
  </si>
  <si>
    <t>DURAN JAIME JOSE ANTONIO</t>
  </si>
  <si>
    <t>DENIS DIMAS</t>
  </si>
  <si>
    <t>HILDEMARO ALEJANDRO SOLIS</t>
  </si>
  <si>
    <t>CLAUDIA CAMACHO</t>
  </si>
  <si>
    <t>YENNY YERILEE ROJAS CHACON</t>
  </si>
  <si>
    <t>GLORIELA YANILY TORRES</t>
  </si>
  <si>
    <t>ARIANNA LUNA SOTO</t>
  </si>
  <si>
    <t>JOSE CLEMENTE MORFEE</t>
  </si>
  <si>
    <t>ELAYNE YORALIS BENITEZ</t>
  </si>
  <si>
    <t>JAIRO ANTONIO MALDONADO</t>
  </si>
  <si>
    <t>MARLYN NIÑO CARRILLO</t>
  </si>
  <si>
    <t xml:space="preserve">JULIO RAFAEL FREITEZ </t>
  </si>
  <si>
    <t>ANDRWS RAFAEL RONDON</t>
  </si>
  <si>
    <t>MAIKEL EDUARDO MONACO</t>
  </si>
  <si>
    <t>MARY CARMEN RODRIGUEZ POZO</t>
  </si>
  <si>
    <t>16/3/206</t>
  </si>
  <si>
    <t>GRATERON MARQUEZ RODOLFO</t>
  </si>
  <si>
    <t xml:space="preserve">ANDRY SOSA </t>
  </si>
  <si>
    <t>EDWIN ROBERTSON ORTEGA</t>
  </si>
  <si>
    <t>SORELYS EULALIA BRITO</t>
  </si>
  <si>
    <t>JORGE JONAIKER PUELLO MONTAÑEZ</t>
  </si>
  <si>
    <t>KEYDER RAFAEL GUTIERREZ MARTINEZ</t>
  </si>
  <si>
    <t>MARIA EUGENIA TEXIER DIAZ</t>
  </si>
  <si>
    <t>JOSE RAFAEL CASTRO HERNANDEZ</t>
  </si>
  <si>
    <t xml:space="preserve">DAICY COROMOTO CARDENAS </t>
  </si>
  <si>
    <t>KENNIA LISBETH MARTINEZ</t>
  </si>
  <si>
    <t xml:space="preserve">DELINTHON JOSE TORO </t>
  </si>
  <si>
    <t>JESUS ANTONIO RIERA GALLARDO</t>
  </si>
  <si>
    <t>JOHAN JOSE CORREA</t>
  </si>
  <si>
    <t>CARLOS ESTEBAN CASTILLO LEON</t>
  </si>
  <si>
    <t xml:space="preserve">LUIS EDIKSON CAÑAS ZAMBRANO </t>
  </si>
  <si>
    <t>JHOANCY YIRANNY CAMACHO</t>
  </si>
  <si>
    <t>JESUS RAMON ROJAS SOTILLO</t>
  </si>
  <si>
    <t>MIGUEL ALEXANDER PEREIRA</t>
  </si>
  <si>
    <t>MARCELI MAIRETT MENDOZA</t>
  </si>
  <si>
    <t>1/62026</t>
  </si>
  <si>
    <t>RAFAEL JOSE RODUIGUEZ ESCALONA</t>
  </si>
  <si>
    <t>JARRY YUNIOR TORREALBA</t>
  </si>
  <si>
    <t>DILCIA MARGARITA PEREZ</t>
  </si>
  <si>
    <t>DIEGO ALEXANDER MATINEZ</t>
  </si>
  <si>
    <t>FRANJHERTH ANTONIO RAMIREZ</t>
  </si>
  <si>
    <t>MAYRA RAQUEL CASTILLO</t>
  </si>
  <si>
    <t xml:space="preserve">JHONNY ARON GARCIA </t>
  </si>
  <si>
    <t>YULEXI JOSELIN ROMERO</t>
  </si>
  <si>
    <t xml:space="preserve">DAN FRANCOIS PERAZA </t>
  </si>
  <si>
    <t>RAMON ALFONSO ARAUJO</t>
  </si>
  <si>
    <t>YERBERSON ALEJANDRO JIMENEZ</t>
  </si>
  <si>
    <t xml:space="preserve">ALEXANDER JOSUE PEREZ FALCON </t>
  </si>
  <si>
    <t>RAIMER ALEXANDER PALENCIA MONTES</t>
  </si>
  <si>
    <t>JOSE MANUEL DURAN PEREZ</t>
  </si>
  <si>
    <t>FRANCO SUPERANI JESUS ALBERTO</t>
  </si>
  <si>
    <t>TOMAS ALFONZO MARCANO</t>
  </si>
  <si>
    <t>FREDDY SALOMON FIGUERA</t>
  </si>
  <si>
    <t>GRAICY ALEJANDRA ROMERO PACHECO</t>
  </si>
  <si>
    <t xml:space="preserve">ANGEL GABRIEL LEAL CARMONA </t>
  </si>
  <si>
    <t>BARBARA ELIZABETH SOLORZANO</t>
  </si>
  <si>
    <t>YOHAN ANTONIO PEREZ GARCIA</t>
  </si>
  <si>
    <t>ISRAEL ROJAS</t>
  </si>
  <si>
    <t>SNYKER ADRIAN FLORES SANCHEZ</t>
  </si>
  <si>
    <t>FABY ARDILLA</t>
  </si>
  <si>
    <t>RONNY CEDEÑO</t>
  </si>
  <si>
    <t>YURI RICO</t>
  </si>
  <si>
    <t xml:space="preserve">JOSE RAFAEL MORALES CHIRINOS </t>
  </si>
  <si>
    <t>RAMON ERNESTO GIL REYES</t>
  </si>
  <si>
    <t>OROPEZA TRUJILLO YETZAMY</t>
  </si>
  <si>
    <t>JESUS AMADOR DURAN GUTIERREZ</t>
  </si>
  <si>
    <t>DANIELA ROMERO</t>
  </si>
  <si>
    <t>FECHA DE LA FACTURA</t>
  </si>
  <si>
    <t>ANDRES AELINO MANZANO SOTO</t>
  </si>
  <si>
    <t>JAIER ENRIQUE CASTILLO ILLEGAS</t>
  </si>
  <si>
    <t xml:space="preserve">MARIA NATIIDAD MATUZALEN BLANCO </t>
  </si>
  <si>
    <t>INERSIONES FONDOEFA C.A</t>
  </si>
  <si>
    <t xml:space="preserve">REINALDO MIGUEL AREALO CARABALLO </t>
  </si>
  <si>
    <t>DIOGENES ALEXANDER ILLEGAS RIERO</t>
  </si>
  <si>
    <t>MANUEL IANA</t>
  </si>
  <si>
    <t xml:space="preserve">JAIER ALEXIS PIÑANGO MANZANO </t>
  </si>
  <si>
    <t>ABRAHAM MOISES RIERO GUEARA</t>
  </si>
  <si>
    <t>YESENIA COROMOTO GUEARA</t>
  </si>
  <si>
    <t>CARLOS GERMAN ASQUEZ ORTEGA</t>
  </si>
  <si>
    <t>CESAR ABDON SILA MONTES</t>
  </si>
  <si>
    <t>DAIELIS NELASLLY LABRADOR</t>
  </si>
  <si>
    <t>JUAN JOSE MEZA RIAS</t>
  </si>
  <si>
    <t>YERLEING TOAR GONZALEZ</t>
  </si>
  <si>
    <t>TONY ABRAHAM SANDOAL</t>
  </si>
  <si>
    <t>JHYNETH JOHANNA RIAS</t>
  </si>
  <si>
    <t>JAIR ANTONIO RAMOS ALAREZ</t>
  </si>
  <si>
    <t xml:space="preserve">YOHERIS GABRIEL SARMIENTO </t>
  </si>
  <si>
    <t>LEONOR OSWARLEE ARELO</t>
  </si>
  <si>
    <t>MOISES SEGUNDO ELASQUEZ</t>
  </si>
  <si>
    <t>LADIMIR ALFONSO MARAPACUTO</t>
  </si>
  <si>
    <t>10397079-9</t>
  </si>
  <si>
    <t xml:space="preserve">NOHELIN DEL ALLE MENDEZ </t>
  </si>
  <si>
    <t>JAIER ALEJANDRO MORALES PEREZ</t>
  </si>
  <si>
    <t>YENNIREET DEL ALLE PORTILLO GONZALEZ</t>
  </si>
  <si>
    <t>ANGELIMAR ANDREINA AILA RIAS</t>
  </si>
  <si>
    <t>CELENNY AREALO</t>
  </si>
  <si>
    <t>IAN CASTRO</t>
  </si>
  <si>
    <t>ERICKA GUEARA</t>
  </si>
  <si>
    <t>EMANUEL JOSUE HURTADO BRAO</t>
  </si>
  <si>
    <t>DULCE MARIA GUILLEN OLIARES</t>
  </si>
  <si>
    <t>DÓLAR DEPOSITADO CUOTA1</t>
  </si>
  <si>
    <t>REF COUTA 1</t>
  </si>
  <si>
    <t>FECHA COUTA 1</t>
  </si>
  <si>
    <t>TASA COUTA 1</t>
  </si>
  <si>
    <t>REF COUTA 2</t>
  </si>
  <si>
    <t>FECHA COUTA 2</t>
  </si>
  <si>
    <t>TASA COUTA 2</t>
  </si>
  <si>
    <t>DÓLAR DEPOSITADO COUTA 2</t>
  </si>
  <si>
    <t>REF COUTA 3</t>
  </si>
  <si>
    <t>FECHA COUTA 3</t>
  </si>
  <si>
    <t>TASA COUTA 3</t>
  </si>
  <si>
    <t>DÓLAR DEPOSITADO COUTA 3</t>
  </si>
  <si>
    <t>REF COUTA 4</t>
  </si>
  <si>
    <t>FECHA COUTA 4</t>
  </si>
  <si>
    <t>TASA COUTA 4</t>
  </si>
  <si>
    <t>DÓLAR DEPOSITADO COUTA 4</t>
  </si>
  <si>
    <t>REF COUTA 5</t>
  </si>
  <si>
    <t>FECHA COUTA 5</t>
  </si>
  <si>
    <t>TASA COUTA 5</t>
  </si>
  <si>
    <t>DÓLAR DEPOSITADO COUTA 5</t>
  </si>
  <si>
    <t>REF COUTA 6</t>
  </si>
  <si>
    <t>FECHA COUTA 6</t>
  </si>
  <si>
    <t>TASA COUTA 6</t>
  </si>
  <si>
    <t>DÓLAR DEPOSITADO COUTA 6</t>
  </si>
  <si>
    <t>REF COUTA 7</t>
  </si>
  <si>
    <t>FECHA COUTA 7</t>
  </si>
  <si>
    <t>TASA COUTA 7</t>
  </si>
  <si>
    <t>DÓLAR DEPOSITADO COUTA 7</t>
  </si>
  <si>
    <t>REF COUTA 8</t>
  </si>
  <si>
    <t>FECHA COUTA 8</t>
  </si>
  <si>
    <t>TASA COUTA 8</t>
  </si>
  <si>
    <t>DÓLAR DEPOSITADO COUTA 8</t>
  </si>
  <si>
    <t>REF COUTA 9</t>
  </si>
  <si>
    <t>FECHA COUTA 9</t>
  </si>
  <si>
    <t>TASA COUTA 9</t>
  </si>
  <si>
    <t>DÓLAR DEPOSITADO COUTA 9</t>
  </si>
  <si>
    <t>FRANCISCO JAvIER CASTRO VILLAMIZAR</t>
  </si>
  <si>
    <t xml:space="preserve">NELSON ALBERTO VERDE CORONADO </t>
  </si>
  <si>
    <t>COUTA 10</t>
  </si>
  <si>
    <t>REF COUTA 10</t>
  </si>
  <si>
    <t>FECHA COUTA 10</t>
  </si>
  <si>
    <t>TASA COUTA 10</t>
  </si>
  <si>
    <t>DÓLAR DEPOSITADO COUTA 10</t>
  </si>
  <si>
    <t>COUTA 11</t>
  </si>
  <si>
    <t>REF COUTA 11</t>
  </si>
  <si>
    <t>FECHA COUTA 11</t>
  </si>
  <si>
    <t>TASA COUTA 11</t>
  </si>
  <si>
    <t>DÓLAR DEPOSITADO COUTA 11</t>
  </si>
  <si>
    <t>DELINTHON TORO</t>
  </si>
  <si>
    <t xml:space="preserve">DEIVIS OMAR LOPEZ HERES </t>
  </si>
  <si>
    <t>JOSE RAFAEL VIVAS</t>
  </si>
  <si>
    <t>IMURU TIWAMORE MEDINA ROJAS</t>
  </si>
  <si>
    <t>LISBETH ASENCIO PEREZ</t>
  </si>
  <si>
    <t>FELIX ALI MARTINEZ ORTA</t>
  </si>
  <si>
    <t>ANDRES ERNESTO MORENO SANCHEZ</t>
  </si>
  <si>
    <t>YADIRA DEL CARMEN MARQUEZ DURAN</t>
  </si>
  <si>
    <t xml:space="preserve">YANEIDY ANAIREBES CARDOZO RAMOS </t>
  </si>
  <si>
    <t>ORLANDO DE JESUS MENDOZA ARREAZA</t>
  </si>
  <si>
    <t>SOLORZANO RONDON CARLOS DANIEL</t>
  </si>
  <si>
    <t xml:space="preserve">DAVILA SALAS PEDRO ANTONIO </t>
  </si>
  <si>
    <t>LUIS RAFAEL HENRIQUEZ ESPINA</t>
  </si>
  <si>
    <t>MARIA ELENA TOBISAY DAVILA</t>
  </si>
  <si>
    <t>PLACIDO JOSE RODRIGUEZ HERRERA</t>
  </si>
  <si>
    <t>MANUEL EDUARDO GUITIERREZ VALENZUELA</t>
  </si>
  <si>
    <t>EVELIN LILIANA CARDENAS ZAMBRANO</t>
  </si>
  <si>
    <t>MARIA DE JESUS SANCHEZ GALLEGOS</t>
  </si>
  <si>
    <t>JESSICA PEÑA CASTILLO</t>
  </si>
  <si>
    <t>VIAJES Y TURISMO IFAMIL, C.A</t>
  </si>
  <si>
    <t>TASA</t>
  </si>
  <si>
    <t>monto_facturado_divisa</t>
  </si>
  <si>
    <t>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</si>
</sst>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XDR&quot;* #,##0.00_-;\-&quot;XDR&quot;* #,##0.00_-;_-&quot;XDR&quot;* &quot;-&quot;??_-;_-@_-"/>
    <numFmt numFmtId="43" formatCode="_-* #,##0.00_-;\-* #,##0.00_-;_-* &quot;-&quot;??_-;_-@_-"/>
    <numFmt numFmtId="164" formatCode="#,##0.00;[Red]#,##0.00"/>
    <numFmt numFmtId="165" formatCode="#,##0.00_ ;\-#,##0.00\ "/>
    <numFmt numFmtId="166" formatCode="0.00_ ;\-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37415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0"/>
      <color theme="1"/>
      <name val="Arial"/>
      <family val="2"/>
    </font>
    <font>
      <sz val="11"/>
      <color rgb="FF000000"/>
      <name val="Times New Roman"/>
    </font>
    <font>
      <sz val="8"/>
      <color rgb="FF00000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6" fillId="0" borderId="0"/>
    <xf numFmtId="44" fontId="6" fillId="0" borderId="0"/>
  </cellStyleXfs>
  <cellXfs count="141">
    <xf numFmtId="0" fontId="0" fillId="0" borderId="0" xfId="0"/>
    <xf numFmtId="4" fontId="1" fillId="0" borderId="1" xfId="0" applyNumberFormat="1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top" shrinkToFit="1"/>
    </xf>
    <xf numFmtId="14" fontId="3" fillId="3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" fontId="0" fillId="2" borderId="1" xfId="0" applyNumberFormat="1" applyFill="1" applyBorder="1" applyAlignment="1">
      <alignment horizontal="center" vertical="center"/>
    </xf>
    <xf numFmtId="4" fontId="0" fillId="2" borderId="1" xfId="0" applyNumberFormat="1" applyFill="1" applyBorder="1"/>
    <xf numFmtId="14" fontId="0" fillId="2" borderId="1" xfId="0" applyNumberForma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top" shrinkToFit="1"/>
    </xf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 wrapText="1"/>
    </xf>
    <xf numFmtId="4" fontId="0" fillId="0" borderId="1" xfId="0" applyNumberFormat="1" applyBorder="1"/>
    <xf numFmtId="49" fontId="0" fillId="0" borderId="1" xfId="0" applyNumberFormat="1" applyBorder="1" applyAlignment="1">
      <alignment horizontal="center" vertical="top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top" shrinkToFi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4" fontId="4" fillId="4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distributed"/>
    </xf>
    <xf numFmtId="4" fontId="7" fillId="0" borderId="1" xfId="0" applyNumberFormat="1" applyFont="1" applyBorder="1" applyAlignment="1">
      <alignment horizontal="center" vertical="top" shrinkToFit="1"/>
    </xf>
    <xf numFmtId="4" fontId="1" fillId="6" borderId="0" xfId="0" applyNumberFormat="1" applyFont="1" applyFill="1" applyAlignment="1">
      <alignment horizontal="center"/>
    </xf>
    <xf numFmtId="4" fontId="4" fillId="6" borderId="1" xfId="0" applyNumberFormat="1" applyFont="1" applyFill="1" applyBorder="1" applyAlignment="1">
      <alignment horizontal="center" vertical="center" wrapText="1"/>
    </xf>
    <xf numFmtId="1" fontId="6" fillId="0" borderId="1" xfId="1" applyNumberForma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top" shrinkToFit="1"/>
    </xf>
    <xf numFmtId="1" fontId="7" fillId="2" borderId="1" xfId="0" applyNumberFormat="1" applyFont="1" applyFill="1" applyBorder="1" applyAlignment="1">
      <alignment horizontal="center" vertical="top" shrinkToFit="1"/>
    </xf>
    <xf numFmtId="0" fontId="8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top" shrinkToFit="1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" fontId="0" fillId="0" borderId="1" xfId="2" applyNumberFormat="1" applyFont="1" applyBorder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4" fontId="0" fillId="6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" fontId="0" fillId="0" borderId="1" xfId="0" applyNumberFormat="1" applyBorder="1" applyAlignment="1">
      <alignment horizontal="center" vertical="center"/>
    </xf>
    <xf numFmtId="4" fontId="4" fillId="6" borderId="3" xfId="0" applyNumberFormat="1" applyFont="1" applyFill="1" applyBorder="1" applyAlignment="1">
      <alignment horizontal="center" vertical="center" wrapText="1"/>
    </xf>
    <xf numFmtId="0" fontId="1" fillId="0" borderId="0" xfId="0" applyFont="1"/>
    <xf numFmtId="4" fontId="1" fillId="0" borderId="0" xfId="0" applyNumberFormat="1" applyFont="1"/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2" borderId="1" xfId="2" applyNumberFormat="1" applyFont="1" applyFill="1" applyBorder="1" applyAlignment="1">
      <alignment horizontal="center"/>
    </xf>
    <xf numFmtId="165" fontId="6" fillId="2" borderId="1" xfId="2" applyNumberFormat="1" applyFill="1" applyBorder="1" applyAlignment="1">
      <alignment horizontal="center"/>
    </xf>
    <xf numFmtId="165" fontId="6" fillId="0" borderId="1" xfId="2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4" fontId="0" fillId="8" borderId="1" xfId="0" applyNumberFormat="1" applyFill="1" applyBorder="1" applyAlignment="1">
      <alignment horizontal="center"/>
    </xf>
    <xf numFmtId="4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 vertical="top" shrinkToFit="1"/>
    </xf>
    <xf numFmtId="164" fontId="0" fillId="7" borderId="1" xfId="0" applyNumberForma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/>
    <xf numFmtId="4" fontId="0" fillId="7" borderId="1" xfId="0" applyNumberFormat="1" applyFill="1" applyBorder="1"/>
    <xf numFmtId="4" fontId="1" fillId="7" borderId="1" xfId="0" applyNumberFormat="1" applyFont="1" applyFill="1" applyBorder="1"/>
    <xf numFmtId="4" fontId="1" fillId="7" borderId="0" xfId="0" applyNumberFormat="1" applyFont="1" applyFill="1"/>
    <xf numFmtId="0" fontId="1" fillId="9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4" fontId="0" fillId="9" borderId="1" xfId="0" applyNumberForma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4" fontId="7" fillId="9" borderId="1" xfId="0" applyNumberFormat="1" applyFont="1" applyFill="1" applyBorder="1" applyAlignment="1">
      <alignment horizontal="center" vertical="top" shrinkToFit="1"/>
    </xf>
    <xf numFmtId="1" fontId="0" fillId="9" borderId="1" xfId="0" applyNumberFormat="1" applyFill="1" applyBorder="1" applyAlignment="1">
      <alignment horizontal="center"/>
    </xf>
    <xf numFmtId="1" fontId="7" fillId="9" borderId="1" xfId="0" applyNumberFormat="1" applyFont="1" applyFill="1" applyBorder="1" applyAlignment="1">
      <alignment horizontal="center" vertical="top" shrinkToFit="1"/>
    </xf>
    <xf numFmtId="4" fontId="0" fillId="9" borderId="1" xfId="0" applyNumberForma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 vertical="center" wrapText="1"/>
    </xf>
    <xf numFmtId="0" fontId="1" fillId="9" borderId="1" xfId="0" applyFont="1" applyFill="1" applyBorder="1"/>
    <xf numFmtId="0" fontId="1" fillId="9" borderId="0" xfId="0" applyFont="1" applyFill="1"/>
    <xf numFmtId="4" fontId="1" fillId="8" borderId="1" xfId="0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8" borderId="4" xfId="0" applyNumberFormat="1" applyFill="1" applyBorder="1" applyAlignment="1">
      <alignment horizontal="center"/>
    </xf>
    <xf numFmtId="14" fontId="0" fillId="8" borderId="4" xfId="0" applyNumberForma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4" fontId="3" fillId="8" borderId="4" xfId="0" applyNumberFormat="1" applyFont="1" applyFill="1" applyBorder="1" applyAlignment="1">
      <alignment horizontal="center" vertical="center"/>
    </xf>
    <xf numFmtId="1" fontId="6" fillId="0" borderId="4" xfId="1" applyNumberFormat="1" applyBorder="1" applyAlignment="1">
      <alignment horizontal="center" vertical="center" wrapText="1"/>
    </xf>
    <xf numFmtId="1" fontId="6" fillId="8" borderId="4" xfId="1" applyNumberForma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center" vertical="top" shrinkToFit="1"/>
    </xf>
    <xf numFmtId="1" fontId="7" fillId="8" borderId="1" xfId="0" applyNumberFormat="1" applyFont="1" applyFill="1" applyBorder="1" applyAlignment="1">
      <alignment horizontal="center" vertical="top" shrinkToFit="1"/>
    </xf>
    <xf numFmtId="4" fontId="0" fillId="0" borderId="5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7" xfId="0" applyFill="1" applyBorder="1"/>
    <xf numFmtId="4" fontId="0" fillId="9" borderId="7" xfId="0" applyNumberFormat="1" applyFill="1" applyBorder="1" applyAlignment="1">
      <alignment horizontal="center" vertical="center"/>
    </xf>
    <xf numFmtId="14" fontId="0" fillId="9" borderId="7" xfId="0" applyNumberFormat="1" applyFill="1" applyBorder="1" applyAlignment="1">
      <alignment horizontal="center"/>
    </xf>
    <xf numFmtId="4" fontId="0" fillId="9" borderId="7" xfId="0" applyNumberForma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 vertical="top" shrinkToFit="1"/>
    </xf>
    <xf numFmtId="4" fontId="0" fillId="0" borderId="7" xfId="0" applyNumberFormat="1" applyBorder="1" applyAlignment="1">
      <alignment horizontal="center"/>
    </xf>
    <xf numFmtId="1" fontId="0" fillId="9" borderId="7" xfId="0" applyNumberFormat="1" applyFill="1" applyBorder="1" applyAlignment="1">
      <alignment horizontal="center"/>
    </xf>
    <xf numFmtId="14" fontId="0" fillId="9" borderId="7" xfId="0" applyNumberFormat="1" applyFill="1" applyBorder="1" applyAlignment="1">
      <alignment horizontal="center" vertical="center"/>
    </xf>
    <xf numFmtId="4" fontId="1" fillId="9" borderId="7" xfId="0" applyNumberFormat="1" applyFont="1" applyFill="1" applyBorder="1"/>
    <xf numFmtId="0" fontId="1" fillId="9" borderId="7" xfId="0" applyFont="1" applyFill="1" applyBorder="1"/>
    <xf numFmtId="0" fontId="0" fillId="0" borderId="6" xfId="0" applyBorder="1" applyAlignment="1">
      <alignment horizontal="center" vertical="center" wrapText="1"/>
    </xf>
    <xf numFmtId="0" fontId="5" fillId="0" borderId="6" xfId="0" applyFont="1" applyBorder="1"/>
    <xf numFmtId="4" fontId="5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1" fontId="7" fillId="0" borderId="6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192.168.21.32/facturacion.php/fafactur/edit/id/34559" TargetMode="External"/><Relationship Id="rId1" Type="http://schemas.openxmlformats.org/officeDocument/2006/relationships/hyperlink" Target="http://192.168.21.32/facturacion.php/fafactur/edit/id/34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BO152"/>
  <sheetViews>
    <sheetView tabSelected="1" zoomScaleNormal="100" workbookViewId="0">
      <pane ySplit="1" topLeftCell="A127" activePane="bottomLeft" state="frozen"/>
      <selection activeCell="A4" sqref="A4"/>
      <selection pane="bottomLeft" activeCell="D135" sqref="D135:D136"/>
    </sheetView>
  </sheetViews>
  <sheetFormatPr baseColWidth="10" defaultColWidth="11.44140625" defaultRowHeight="13.8" x14ac:dyDescent="0.25"/>
  <cols>
    <col min="1" max="1" width="4" style="42" bestFit="1" customWidth="1"/>
    <col min="2" max="2" width="9.5546875" style="42" customWidth="1"/>
    <col min="3" max="3" width="40.5546875" style="58" customWidth="1"/>
    <col min="4" max="4" width="13.44140625" style="7" customWidth="1"/>
    <col min="5" max="5" width="17.5546875" style="7" bestFit="1" customWidth="1"/>
    <col min="6" max="6" width="17.5546875" style="7" customWidth="1"/>
    <col min="7" max="7" width="20" style="42" customWidth="1"/>
    <col min="8" max="8" width="10.109375" style="42" bestFit="1" customWidth="1"/>
    <col min="9" max="9" width="18.5546875" style="42" customWidth="1"/>
    <col min="10" max="11" width="14.6640625" style="32" customWidth="1"/>
    <col min="12" max="12" width="16.33203125" style="7" customWidth="1"/>
    <col min="13" max="13" width="11.44140625" style="42" customWidth="1"/>
    <col min="14" max="14" width="11.33203125" style="58" bestFit="1" customWidth="1"/>
    <col min="15" max="15" width="11.33203125" style="59" customWidth="1"/>
    <col min="16" max="16" width="23.5546875" style="58" customWidth="1"/>
    <col min="17" max="17" width="14.33203125" style="59" bestFit="1" customWidth="1"/>
    <col min="18" max="18" width="16.109375" style="42" customWidth="1"/>
    <col min="19" max="19" width="12.33203125" style="42" customWidth="1"/>
    <col min="20" max="20" width="11.33203125" style="7" customWidth="1"/>
    <col min="21" max="21" width="12.33203125" style="42" customWidth="1"/>
    <col min="22" max="22" width="12.44140625" style="59" customWidth="1"/>
    <col min="23" max="23" width="11.5546875" style="58" customWidth="1"/>
    <col min="24" max="24" width="15.33203125" style="42" customWidth="1"/>
    <col min="25" max="25" width="11.33203125" style="59" customWidth="1"/>
    <col min="26" max="26" width="15.33203125" style="42" customWidth="1"/>
    <col min="27" max="29" width="11.44140625" style="58" customWidth="1"/>
    <col min="30" max="30" width="11.33203125" style="59" customWidth="1"/>
    <col min="31" max="34" width="11.44140625" style="58" customWidth="1"/>
    <col min="35" max="35" width="11.33203125" style="7" customWidth="1"/>
    <col min="36" max="39" width="11.44140625" style="58" customWidth="1"/>
    <col min="40" max="40" width="11.33203125" style="59" customWidth="1"/>
    <col min="41" max="44" width="11.44140625" style="58" customWidth="1"/>
    <col min="45" max="45" width="11.33203125" style="59" customWidth="1"/>
    <col min="46" max="49" width="11.44140625" style="58" customWidth="1"/>
    <col min="50" max="50" width="11.33203125" style="59" customWidth="1"/>
    <col min="51" max="54" width="11.44140625" style="58" customWidth="1"/>
    <col min="55" max="55" width="11.33203125" style="59" customWidth="1"/>
    <col min="56" max="56" width="11.44140625" style="58" customWidth="1"/>
    <col min="57" max="59" width="11.44140625" style="58"/>
    <col min="60" max="61" width="11.44140625" style="58" customWidth="1"/>
    <col min="62" max="64" width="11.44140625" style="58"/>
    <col min="65" max="66" width="11.44140625" style="58" customWidth="1"/>
    <col min="67" max="16384" width="11.44140625" style="58"/>
  </cols>
  <sheetData>
    <row r="1" spans="1:67" s="10" customFormat="1" ht="40.200000000000003" customHeight="1" x14ac:dyDescent="0.3">
      <c r="A1" s="62" t="s">
        <v>0</v>
      </c>
      <c r="B1" s="29" t="s">
        <v>1</v>
      </c>
      <c r="C1" s="28" t="s">
        <v>2</v>
      </c>
      <c r="D1" s="29" t="s">
        <v>3</v>
      </c>
      <c r="E1" s="29" t="s">
        <v>209</v>
      </c>
      <c r="F1" s="29" t="s">
        <v>210</v>
      </c>
      <c r="G1" s="29" t="s">
        <v>107</v>
      </c>
      <c r="H1" s="29" t="s">
        <v>208</v>
      </c>
      <c r="I1" s="27" t="s">
        <v>4</v>
      </c>
      <c r="J1" s="33" t="s">
        <v>5</v>
      </c>
      <c r="K1" s="33" t="s">
        <v>6</v>
      </c>
      <c r="L1" s="33" t="s">
        <v>7</v>
      </c>
      <c r="M1" s="33" t="s">
        <v>141</v>
      </c>
      <c r="N1" s="33" t="s">
        <v>142</v>
      </c>
      <c r="O1" s="33" t="s">
        <v>143</v>
      </c>
      <c r="P1" s="33" t="s">
        <v>140</v>
      </c>
      <c r="Q1" s="33" t="s">
        <v>8</v>
      </c>
      <c r="R1" s="33" t="s">
        <v>144</v>
      </c>
      <c r="S1" s="33" t="s">
        <v>145</v>
      </c>
      <c r="T1" s="33" t="s">
        <v>146</v>
      </c>
      <c r="U1" s="33" t="s">
        <v>147</v>
      </c>
      <c r="V1" s="33" t="s">
        <v>9</v>
      </c>
      <c r="W1" s="33" t="s">
        <v>148</v>
      </c>
      <c r="X1" s="33" t="s">
        <v>149</v>
      </c>
      <c r="Y1" s="33" t="s">
        <v>150</v>
      </c>
      <c r="Z1" s="33" t="s">
        <v>151</v>
      </c>
      <c r="AA1" s="33" t="s">
        <v>10</v>
      </c>
      <c r="AB1" s="33" t="s">
        <v>152</v>
      </c>
      <c r="AC1" s="33" t="s">
        <v>153</v>
      </c>
      <c r="AD1" s="33" t="s">
        <v>154</v>
      </c>
      <c r="AE1" s="33" t="s">
        <v>155</v>
      </c>
      <c r="AF1" s="33" t="s">
        <v>156</v>
      </c>
      <c r="AG1" s="33" t="s">
        <v>156</v>
      </c>
      <c r="AH1" s="33" t="s">
        <v>157</v>
      </c>
      <c r="AI1" s="33" t="s">
        <v>158</v>
      </c>
      <c r="AJ1" s="33" t="s">
        <v>159</v>
      </c>
      <c r="AK1" s="33" t="s">
        <v>11</v>
      </c>
      <c r="AL1" s="33" t="s">
        <v>160</v>
      </c>
      <c r="AM1" s="33" t="s">
        <v>161</v>
      </c>
      <c r="AN1" s="33" t="s">
        <v>162</v>
      </c>
      <c r="AO1" s="33" t="s">
        <v>163</v>
      </c>
      <c r="AP1" s="33" t="s">
        <v>12</v>
      </c>
      <c r="AQ1" s="33" t="s">
        <v>164</v>
      </c>
      <c r="AR1" s="33" t="s">
        <v>165</v>
      </c>
      <c r="AS1" s="33" t="s">
        <v>166</v>
      </c>
      <c r="AT1" s="33" t="s">
        <v>167</v>
      </c>
      <c r="AU1" s="33" t="s">
        <v>13</v>
      </c>
      <c r="AV1" s="33" t="s">
        <v>168</v>
      </c>
      <c r="AW1" s="33" t="s">
        <v>169</v>
      </c>
      <c r="AX1" s="33" t="s">
        <v>170</v>
      </c>
      <c r="AY1" s="33" t="s">
        <v>171</v>
      </c>
      <c r="AZ1" s="33" t="s">
        <v>14</v>
      </c>
      <c r="BA1" s="33" t="s">
        <v>172</v>
      </c>
      <c r="BB1" s="33" t="s">
        <v>173</v>
      </c>
      <c r="BC1" s="33" t="s">
        <v>174</v>
      </c>
      <c r="BD1" s="33" t="s">
        <v>175</v>
      </c>
      <c r="BE1" s="33" t="s">
        <v>178</v>
      </c>
      <c r="BF1" s="33" t="s">
        <v>179</v>
      </c>
      <c r="BG1" s="33" t="s">
        <v>180</v>
      </c>
      <c r="BH1" s="33" t="s">
        <v>181</v>
      </c>
      <c r="BI1" s="33" t="s">
        <v>182</v>
      </c>
      <c r="BJ1" s="33" t="s">
        <v>183</v>
      </c>
      <c r="BK1" s="33" t="s">
        <v>184</v>
      </c>
      <c r="BL1" s="33" t="s">
        <v>185</v>
      </c>
      <c r="BM1" s="33" t="s">
        <v>186</v>
      </c>
      <c r="BN1" s="33" t="s">
        <v>187</v>
      </c>
      <c r="BO1" s="57"/>
    </row>
    <row r="2" spans="1:67" ht="14.4" customHeight="1" x14ac:dyDescent="0.3">
      <c r="A2" s="42">
        <v>1</v>
      </c>
      <c r="B2" s="2">
        <v>7693</v>
      </c>
      <c r="C2" s="53" t="s">
        <v>108</v>
      </c>
      <c r="D2" s="51">
        <v>10836.23</v>
      </c>
      <c r="E2" s="51"/>
      <c r="F2" s="51"/>
      <c r="G2" s="50">
        <v>45705</v>
      </c>
      <c r="H2" s="70">
        <v>0</v>
      </c>
      <c r="I2" s="2">
        <v>7959439</v>
      </c>
      <c r="J2" s="49">
        <f>L2+Q2+V2+AA2+AF2+AK2+AP2+AU2+AZ2+BE2+BJ2</f>
        <v>10836.29</v>
      </c>
      <c r="K2" s="49">
        <f t="shared" ref="K2:K33" si="0">D2-J2</f>
        <v>-6.0000000001309672E-2</v>
      </c>
      <c r="L2" s="51">
        <v>1862.1</v>
      </c>
      <c r="M2" s="50"/>
      <c r="N2" s="50">
        <v>45705</v>
      </c>
      <c r="O2" s="51">
        <v>62.07</v>
      </c>
      <c r="P2" s="51">
        <f>L2/O2</f>
        <v>30</v>
      </c>
      <c r="Q2" s="45">
        <v>2460</v>
      </c>
      <c r="R2" s="39">
        <v>1562761</v>
      </c>
      <c r="S2" s="35">
        <v>45733</v>
      </c>
      <c r="T2" s="51">
        <v>66.55</v>
      </c>
      <c r="U2" s="51">
        <f>Q2/T2</f>
        <v>36.964688204357628</v>
      </c>
      <c r="V2" s="43">
        <v>2850</v>
      </c>
      <c r="W2" s="43">
        <v>1563982</v>
      </c>
      <c r="X2" s="50">
        <v>45762</v>
      </c>
      <c r="Y2" s="51">
        <v>78.59</v>
      </c>
      <c r="Z2" s="51">
        <f>V2/Y2</f>
        <v>36.264155745005723</v>
      </c>
      <c r="AA2" s="2">
        <v>3440</v>
      </c>
      <c r="AB2" s="2">
        <v>1565190</v>
      </c>
      <c r="AC2" s="50">
        <v>45796</v>
      </c>
      <c r="AD2" s="51">
        <v>94.76</v>
      </c>
      <c r="AE2" s="51">
        <f>AA2/AD2</f>
        <v>36.302237230899109</v>
      </c>
      <c r="AF2" s="2">
        <v>224.19</v>
      </c>
      <c r="AG2" s="2">
        <v>414133</v>
      </c>
      <c r="AH2" s="50">
        <v>46042</v>
      </c>
      <c r="AI2" s="51">
        <v>344.5</v>
      </c>
      <c r="AJ2" s="51">
        <f>AF2/AI2</f>
        <v>0.65076923076923077</v>
      </c>
      <c r="AK2" s="53"/>
      <c r="AL2" s="53"/>
      <c r="AM2" s="53"/>
      <c r="AN2" s="51"/>
      <c r="AO2" s="51"/>
      <c r="AP2" s="53"/>
      <c r="AQ2" s="53"/>
      <c r="AR2" s="53"/>
      <c r="AS2" s="51"/>
      <c r="AT2" s="51"/>
      <c r="AU2" s="53"/>
      <c r="AV2" s="53"/>
      <c r="AW2" s="53"/>
      <c r="AX2" s="51"/>
      <c r="AY2" s="51">
        <f t="shared" ref="AY2:AY18" si="1">AU2/A2</f>
        <v>0</v>
      </c>
      <c r="AZ2" s="55"/>
      <c r="BA2" s="55"/>
      <c r="BB2" s="55"/>
      <c r="BC2" s="51"/>
      <c r="BD2" s="51"/>
    </row>
    <row r="3" spans="1:67" ht="14.4" x14ac:dyDescent="0.3">
      <c r="A3" s="42">
        <v>2</v>
      </c>
      <c r="B3" s="2">
        <v>7965</v>
      </c>
      <c r="C3" s="53" t="s">
        <v>109</v>
      </c>
      <c r="D3" s="51">
        <v>14318.24</v>
      </c>
      <c r="E3" s="51">
        <f>D3/H3</f>
        <v>222.16008974384832</v>
      </c>
      <c r="F3" s="51">
        <f t="shared" ref="F3:F65" si="2">E3/4</f>
        <v>55.540022435962079</v>
      </c>
      <c r="G3" s="50">
        <v>45722</v>
      </c>
      <c r="H3" s="70">
        <v>64.450100000000006</v>
      </c>
      <c r="I3" s="2">
        <v>14247261</v>
      </c>
      <c r="J3" s="49">
        <f t="shared" ref="J3:J66" si="3">L3+Q3+V3+AA3+AF3+AK3+AP3+AU3+AZ3+BE3+BJ3</f>
        <v>14518.24</v>
      </c>
      <c r="K3" s="49">
        <f t="shared" si="0"/>
        <v>-200</v>
      </c>
      <c r="L3" s="14">
        <v>4352</v>
      </c>
      <c r="M3" s="15">
        <v>59582859</v>
      </c>
      <c r="N3" s="12">
        <v>45722</v>
      </c>
      <c r="O3" s="14">
        <v>64.450100000000006</v>
      </c>
      <c r="P3" s="51">
        <f t="shared" ref="P3:P66" si="4">L3/O3</f>
        <v>67.525108572368381</v>
      </c>
      <c r="Q3" s="14">
        <v>2729</v>
      </c>
      <c r="R3" s="13">
        <v>503000338</v>
      </c>
      <c r="S3" s="12">
        <v>45744</v>
      </c>
      <c r="T3" s="14">
        <v>69.265100000000004</v>
      </c>
      <c r="U3" s="51">
        <f t="shared" ref="U3:U66" si="5">Q3/T3</f>
        <v>39.399351188405127</v>
      </c>
      <c r="V3" s="16">
        <v>3426.9999999999991</v>
      </c>
      <c r="W3" s="13">
        <v>504000298</v>
      </c>
      <c r="X3" s="12">
        <v>45777</v>
      </c>
      <c r="Y3" s="14">
        <v>86.629400000000004</v>
      </c>
      <c r="Z3" s="51">
        <f t="shared" ref="Z3:Z65" si="6">V3/Y3</f>
        <v>39.559318199133308</v>
      </c>
      <c r="AA3" s="14">
        <v>3766.1999999999989</v>
      </c>
      <c r="AB3" s="13">
        <v>505000306</v>
      </c>
      <c r="AC3" s="12">
        <v>45807</v>
      </c>
      <c r="AD3" s="14">
        <v>96.615600000000001</v>
      </c>
      <c r="AE3" s="51">
        <f t="shared" ref="AE3:AE65" si="7">AA3/AD3</f>
        <v>38.981282525803273</v>
      </c>
      <c r="AF3" s="8">
        <v>44.04</v>
      </c>
      <c r="AG3" s="8">
        <v>506000328</v>
      </c>
      <c r="AH3" s="9">
        <v>45838</v>
      </c>
      <c r="AI3" s="14">
        <v>107.3554</v>
      </c>
      <c r="AJ3" s="51">
        <f t="shared" ref="AJ3:AJ61" si="8">AF3/AI3</f>
        <v>0.41022622057204389</v>
      </c>
      <c r="AK3" s="101">
        <v>200</v>
      </c>
      <c r="AL3" s="2">
        <v>414133</v>
      </c>
      <c r="AM3" s="54">
        <v>46042</v>
      </c>
      <c r="AN3" s="14">
        <v>344.5</v>
      </c>
      <c r="AO3" s="51">
        <f>AK3/AN3</f>
        <v>0.58055152394775034</v>
      </c>
      <c r="AP3" s="53"/>
      <c r="AQ3" s="53"/>
      <c r="AR3" s="53"/>
      <c r="AS3" s="14"/>
      <c r="AT3" s="51"/>
      <c r="AU3" s="53"/>
      <c r="AV3" s="53"/>
      <c r="AW3" s="53"/>
      <c r="AX3" s="14"/>
      <c r="AY3" s="51">
        <f t="shared" si="1"/>
        <v>0</v>
      </c>
      <c r="AZ3" s="55"/>
      <c r="BA3" s="55"/>
      <c r="BB3" s="55"/>
      <c r="BC3" s="14"/>
      <c r="BD3" s="51"/>
    </row>
    <row r="4" spans="1:67" ht="14.4" customHeight="1" x14ac:dyDescent="0.3">
      <c r="A4" s="42">
        <v>3</v>
      </c>
      <c r="B4" s="2">
        <v>8526</v>
      </c>
      <c r="C4" s="11" t="s">
        <v>15</v>
      </c>
      <c r="D4" s="51">
        <v>30202.15</v>
      </c>
      <c r="E4" s="51"/>
      <c r="F4" s="51"/>
      <c r="G4" s="12">
        <v>45748</v>
      </c>
      <c r="H4" s="70">
        <v>0</v>
      </c>
      <c r="I4" s="13">
        <v>19941544</v>
      </c>
      <c r="J4" s="49">
        <f t="shared" si="3"/>
        <v>52415.08</v>
      </c>
      <c r="K4" s="49">
        <f t="shared" si="0"/>
        <v>-22212.93</v>
      </c>
      <c r="L4" s="4">
        <v>27494.28</v>
      </c>
      <c r="M4" s="15">
        <v>0</v>
      </c>
      <c r="N4" s="36">
        <v>45744</v>
      </c>
      <c r="O4" s="63">
        <v>69.265100000000004</v>
      </c>
      <c r="P4" s="51">
        <f t="shared" si="4"/>
        <v>396.94276049554531</v>
      </c>
      <c r="Q4" s="51">
        <v>24920.799999999999</v>
      </c>
      <c r="R4" s="34">
        <v>592833</v>
      </c>
      <c r="S4" s="50">
        <v>46203</v>
      </c>
      <c r="T4" s="63">
        <v>623.02229999999997</v>
      </c>
      <c r="U4" s="51">
        <f t="shared" si="5"/>
        <v>39.999852332733518</v>
      </c>
      <c r="V4" s="3"/>
      <c r="W4" s="55"/>
      <c r="X4" s="2"/>
      <c r="Y4" s="63"/>
      <c r="Z4" s="51"/>
      <c r="AA4" s="53"/>
      <c r="AB4" s="53"/>
      <c r="AC4" s="53"/>
      <c r="AD4" s="63"/>
      <c r="AE4" s="51"/>
      <c r="AF4" s="53"/>
      <c r="AG4" s="53"/>
      <c r="AH4" s="53"/>
      <c r="AI4" s="63"/>
      <c r="AJ4" s="51"/>
      <c r="AK4" s="53"/>
      <c r="AL4" s="53"/>
      <c r="AM4" s="53"/>
      <c r="AN4" s="63"/>
      <c r="AO4" s="51"/>
      <c r="AP4" s="53"/>
      <c r="AQ4" s="53"/>
      <c r="AR4" s="53"/>
      <c r="AS4" s="63"/>
      <c r="AT4" s="51"/>
      <c r="AU4" s="53"/>
      <c r="AV4" s="53"/>
      <c r="AW4" s="53"/>
      <c r="AX4" s="63"/>
      <c r="AY4" s="51">
        <f t="shared" si="1"/>
        <v>0</v>
      </c>
      <c r="AZ4" s="55"/>
      <c r="BA4" s="55"/>
      <c r="BB4" s="55"/>
      <c r="BC4" s="63"/>
      <c r="BD4" s="51"/>
    </row>
    <row r="5" spans="1:67" ht="14.4" customHeight="1" x14ac:dyDescent="0.3">
      <c r="A5" s="42">
        <v>4</v>
      </c>
      <c r="B5" s="2">
        <v>9642</v>
      </c>
      <c r="C5" s="11" t="s">
        <v>110</v>
      </c>
      <c r="D5" s="51">
        <v>12741.43</v>
      </c>
      <c r="E5" s="51">
        <f t="shared" ref="E5:E67" si="9">D5/H5</f>
        <v>131.87756428568471</v>
      </c>
      <c r="F5" s="51">
        <f t="shared" si="2"/>
        <v>32.969391071421178</v>
      </c>
      <c r="G5" s="12">
        <v>45807</v>
      </c>
      <c r="H5" s="70">
        <v>96.615600000000001</v>
      </c>
      <c r="I5" s="13">
        <v>11129236</v>
      </c>
      <c r="J5" s="49">
        <f t="shared" si="3"/>
        <v>12741.43</v>
      </c>
      <c r="K5" s="49">
        <f t="shared" si="0"/>
        <v>0</v>
      </c>
      <c r="L5" s="51">
        <v>12711.36</v>
      </c>
      <c r="M5" s="2">
        <v>0</v>
      </c>
      <c r="N5" s="50">
        <v>45805</v>
      </c>
      <c r="O5" s="51">
        <v>95.565700000000007</v>
      </c>
      <c r="P5" s="51">
        <f t="shared" si="4"/>
        <v>133.01173956764822</v>
      </c>
      <c r="Q5" s="6">
        <v>30.07</v>
      </c>
      <c r="R5" s="2">
        <v>414133</v>
      </c>
      <c r="S5" s="50">
        <v>46042</v>
      </c>
      <c r="T5" s="51">
        <v>344.50709999999998</v>
      </c>
      <c r="U5" s="51">
        <f t="shared" si="5"/>
        <v>8.7284122736512551E-2</v>
      </c>
      <c r="V5" s="22"/>
      <c r="W5" s="53"/>
      <c r="X5" s="2"/>
      <c r="Y5" s="51"/>
      <c r="Z5" s="51"/>
      <c r="AA5" s="53"/>
      <c r="AB5" s="53"/>
      <c r="AC5" s="53"/>
      <c r="AD5" s="51"/>
      <c r="AE5" s="51"/>
      <c r="AF5" s="53"/>
      <c r="AG5" s="53"/>
      <c r="AH5" s="53"/>
      <c r="AI5" s="51"/>
      <c r="AJ5" s="51"/>
      <c r="AK5" s="53"/>
      <c r="AL5" s="53"/>
      <c r="AM5" s="53"/>
      <c r="AN5" s="51"/>
      <c r="AO5" s="51"/>
      <c r="AP5" s="53"/>
      <c r="AQ5" s="53"/>
      <c r="AR5" s="53"/>
      <c r="AS5" s="51"/>
      <c r="AT5" s="51"/>
      <c r="AU5" s="53"/>
      <c r="AV5" s="53"/>
      <c r="AW5" s="53"/>
      <c r="AX5" s="51"/>
      <c r="AY5" s="51">
        <f t="shared" si="1"/>
        <v>0</v>
      </c>
      <c r="AZ5" s="55"/>
      <c r="BA5" s="55"/>
      <c r="BB5" s="55"/>
      <c r="BC5" s="51"/>
      <c r="BD5" s="51"/>
    </row>
    <row r="6" spans="1:67" ht="14.4" customHeight="1" x14ac:dyDescent="0.3">
      <c r="A6" s="42">
        <v>5</v>
      </c>
      <c r="B6" s="2">
        <v>9716</v>
      </c>
      <c r="C6" s="53" t="s">
        <v>16</v>
      </c>
      <c r="D6" s="51">
        <v>25981.77</v>
      </c>
      <c r="E6" s="51">
        <f t="shared" si="9"/>
        <v>268.58262539721267</v>
      </c>
      <c r="F6" s="51">
        <f t="shared" si="2"/>
        <v>67.145656349303167</v>
      </c>
      <c r="G6" s="50">
        <v>45811</v>
      </c>
      <c r="H6" s="70">
        <v>96.736599999999996</v>
      </c>
      <c r="I6" s="2">
        <v>1331277</v>
      </c>
      <c r="J6" s="49">
        <f t="shared" si="3"/>
        <v>25940.317999999999</v>
      </c>
      <c r="K6" s="49">
        <f t="shared" si="0"/>
        <v>41.452000000001135</v>
      </c>
      <c r="L6" s="51">
        <v>14596.5</v>
      </c>
      <c r="M6" s="2">
        <v>231417</v>
      </c>
      <c r="N6" s="50">
        <v>45811</v>
      </c>
      <c r="O6" s="51">
        <v>96.736599999999996</v>
      </c>
      <c r="P6" s="51">
        <f t="shared" si="4"/>
        <v>150.88911539169251</v>
      </c>
      <c r="Q6" s="51">
        <v>2043</v>
      </c>
      <c r="R6" s="2">
        <v>2489990</v>
      </c>
      <c r="S6" s="50">
        <v>45825</v>
      </c>
      <c r="T6" s="51">
        <v>100.9558</v>
      </c>
      <c r="U6" s="51">
        <f t="shared" si="5"/>
        <v>20.236578780020565</v>
      </c>
      <c r="V6" s="51">
        <v>2072.6</v>
      </c>
      <c r="W6" s="2">
        <v>963271</v>
      </c>
      <c r="X6" s="50">
        <v>45828</v>
      </c>
      <c r="Y6" s="51">
        <v>104.282</v>
      </c>
      <c r="Z6" s="51">
        <f t="shared" si="6"/>
        <v>19.87495445043248</v>
      </c>
      <c r="AA6" s="2">
        <v>2242.4</v>
      </c>
      <c r="AB6" s="2">
        <v>600707</v>
      </c>
      <c r="AC6" s="50">
        <v>45846</v>
      </c>
      <c r="AD6" s="51">
        <v>111.8475</v>
      </c>
      <c r="AE6" s="51">
        <f t="shared" si="7"/>
        <v>20.048727061400569</v>
      </c>
      <c r="AF6" s="2">
        <v>2347.9899999999998</v>
      </c>
      <c r="AG6" s="2">
        <v>65548580</v>
      </c>
      <c r="AH6" s="50">
        <v>45859</v>
      </c>
      <c r="AI6" s="51">
        <v>118.8467</v>
      </c>
      <c r="AJ6" s="51">
        <f t="shared" si="8"/>
        <v>19.756459371610653</v>
      </c>
      <c r="AK6" s="2">
        <f>10*125.42</f>
        <v>1254.2</v>
      </c>
      <c r="AL6" s="2">
        <v>507000325</v>
      </c>
      <c r="AM6" s="3">
        <v>45869</v>
      </c>
      <c r="AN6" s="51">
        <v>123.5621</v>
      </c>
      <c r="AO6" s="51">
        <f t="shared" ref="AO6:AO49" si="10">AK6/AN6</f>
        <v>10.150361640017449</v>
      </c>
      <c r="AP6" s="51">
        <v>1383.6280000000011</v>
      </c>
      <c r="AQ6" s="2">
        <v>508000338</v>
      </c>
      <c r="AR6" s="3">
        <v>45898</v>
      </c>
      <c r="AS6" s="51">
        <v>146.7148</v>
      </c>
      <c r="AT6" s="51">
        <f t="shared" ref="AT6:AT33" si="11">AP6/AS6</f>
        <v>9.4307322778615461</v>
      </c>
      <c r="AU6" s="53"/>
      <c r="AV6" s="53"/>
      <c r="AW6" s="53"/>
      <c r="AX6" s="51"/>
      <c r="AY6" s="51">
        <f t="shared" si="1"/>
        <v>0</v>
      </c>
      <c r="AZ6" s="55"/>
      <c r="BA6" s="55"/>
      <c r="BB6" s="55"/>
      <c r="BC6" s="51"/>
      <c r="BD6" s="51"/>
    </row>
    <row r="7" spans="1:67" ht="14.4" x14ac:dyDescent="0.3">
      <c r="A7" s="42">
        <v>6</v>
      </c>
      <c r="B7" s="2">
        <v>9605</v>
      </c>
      <c r="C7" s="53" t="s">
        <v>17</v>
      </c>
      <c r="D7" s="51">
        <v>39708.480000000003</v>
      </c>
      <c r="E7" s="51">
        <f t="shared" si="9"/>
        <v>410.99449778296673</v>
      </c>
      <c r="F7" s="51">
        <f t="shared" si="2"/>
        <v>102.74862444574168</v>
      </c>
      <c r="G7" s="50">
        <v>45807</v>
      </c>
      <c r="H7" s="70">
        <v>96.615600000000001</v>
      </c>
      <c r="I7" s="2">
        <v>16795332</v>
      </c>
      <c r="J7" s="49">
        <f t="shared" si="3"/>
        <v>39708.479999999989</v>
      </c>
      <c r="K7" s="49">
        <f t="shared" si="0"/>
        <v>0</v>
      </c>
      <c r="L7" s="14">
        <v>9432</v>
      </c>
      <c r="M7" s="15">
        <v>819942</v>
      </c>
      <c r="N7" s="12">
        <v>45796</v>
      </c>
      <c r="O7" s="14">
        <v>94.5261</v>
      </c>
      <c r="P7" s="51">
        <f t="shared" si="4"/>
        <v>99.781964981100458</v>
      </c>
      <c r="Q7" s="14">
        <v>8659.2099999999882</v>
      </c>
      <c r="R7" s="13">
        <v>505000306</v>
      </c>
      <c r="S7" s="12">
        <v>45807</v>
      </c>
      <c r="T7" s="14">
        <v>96.615600000000001</v>
      </c>
      <c r="U7" s="51">
        <f t="shared" si="5"/>
        <v>89.625381408385266</v>
      </c>
      <c r="V7" s="14">
        <v>8851</v>
      </c>
      <c r="W7" s="13">
        <v>29353</v>
      </c>
      <c r="X7" s="12">
        <v>45904</v>
      </c>
      <c r="Y7" s="14">
        <v>151.38329999999999</v>
      </c>
      <c r="Z7" s="51">
        <f t="shared" si="6"/>
        <v>58.467479570071468</v>
      </c>
      <c r="AA7" s="14">
        <v>8880.5</v>
      </c>
      <c r="AB7" s="13">
        <v>220477</v>
      </c>
      <c r="AC7" s="12">
        <v>45930</v>
      </c>
      <c r="AD7" s="14">
        <v>177.1703</v>
      </c>
      <c r="AE7" s="51">
        <f t="shared" si="7"/>
        <v>50.124089647079678</v>
      </c>
      <c r="AF7" s="8">
        <v>1568.89</v>
      </c>
      <c r="AG7" s="8">
        <v>772167</v>
      </c>
      <c r="AH7" s="9">
        <v>45981</v>
      </c>
      <c r="AI7" s="14">
        <v>239.7201</v>
      </c>
      <c r="AJ7" s="51">
        <f t="shared" si="8"/>
        <v>6.5446743931777105</v>
      </c>
      <c r="AK7" s="45">
        <v>2316.88</v>
      </c>
      <c r="AL7" s="2">
        <v>121663</v>
      </c>
      <c r="AM7" s="50">
        <v>46190</v>
      </c>
      <c r="AN7" s="14">
        <v>596.78240000000005</v>
      </c>
      <c r="AO7" s="51">
        <f t="shared" si="10"/>
        <v>3.882286072779626</v>
      </c>
      <c r="AP7" s="51"/>
      <c r="AQ7" s="2"/>
      <c r="AR7" s="3"/>
      <c r="AS7" s="14"/>
      <c r="AT7" s="51"/>
      <c r="AU7" s="53"/>
      <c r="AV7" s="53"/>
      <c r="AW7" s="53"/>
      <c r="AX7" s="14"/>
      <c r="AY7" s="51">
        <f t="shared" si="1"/>
        <v>0</v>
      </c>
      <c r="AZ7" s="55"/>
      <c r="BA7" s="55"/>
      <c r="BB7" s="55"/>
      <c r="BC7" s="14"/>
      <c r="BD7" s="51"/>
    </row>
    <row r="8" spans="1:67" ht="14.4" x14ac:dyDescent="0.3">
      <c r="A8" s="42">
        <v>7</v>
      </c>
      <c r="B8" s="2">
        <v>9981</v>
      </c>
      <c r="C8" s="53" t="s">
        <v>111</v>
      </c>
      <c r="D8" s="45">
        <v>64427.99</v>
      </c>
      <c r="E8" s="51"/>
      <c r="F8" s="51"/>
      <c r="G8" s="50">
        <v>45819</v>
      </c>
      <c r="H8" s="70">
        <v>0</v>
      </c>
      <c r="I8" s="2">
        <v>407325922</v>
      </c>
      <c r="J8" s="49">
        <f t="shared" si="3"/>
        <v>57763.02</v>
      </c>
      <c r="K8" s="49">
        <f t="shared" si="0"/>
        <v>6664.9700000000012</v>
      </c>
      <c r="L8" s="14">
        <v>57763.02</v>
      </c>
      <c r="M8" s="13">
        <v>10558487</v>
      </c>
      <c r="N8" s="12">
        <v>45820</v>
      </c>
      <c r="O8" s="14">
        <v>100.08880000000001</v>
      </c>
      <c r="P8" s="51">
        <f t="shared" si="4"/>
        <v>577.11771946511487</v>
      </c>
      <c r="Q8" s="14"/>
      <c r="R8" s="15"/>
      <c r="S8" s="12"/>
      <c r="T8" s="14"/>
      <c r="U8" s="51"/>
      <c r="V8" s="17"/>
      <c r="W8" s="11"/>
      <c r="X8" s="13"/>
      <c r="Y8" s="14"/>
      <c r="Z8" s="51"/>
      <c r="AA8" s="11"/>
      <c r="AB8" s="11"/>
      <c r="AC8" s="11"/>
      <c r="AD8" s="14"/>
      <c r="AE8" s="51"/>
      <c r="AF8" s="11"/>
      <c r="AG8" s="11"/>
      <c r="AH8" s="11"/>
      <c r="AI8" s="14"/>
      <c r="AJ8" s="51"/>
      <c r="AK8" s="53"/>
      <c r="AL8" s="53"/>
      <c r="AM8" s="53"/>
      <c r="AN8" s="14"/>
      <c r="AO8" s="51"/>
      <c r="AP8" s="53"/>
      <c r="AQ8" s="53"/>
      <c r="AR8" s="53"/>
      <c r="AS8" s="14"/>
      <c r="AT8" s="51"/>
      <c r="AU8" s="53"/>
      <c r="AV8" s="53"/>
      <c r="AW8" s="53"/>
      <c r="AX8" s="14"/>
      <c r="AY8" s="51">
        <f t="shared" si="1"/>
        <v>0</v>
      </c>
      <c r="AZ8" s="55"/>
      <c r="BA8" s="55"/>
      <c r="BB8" s="55"/>
      <c r="BC8" s="14"/>
      <c r="BD8" s="51"/>
    </row>
    <row r="9" spans="1:67" ht="14.4" x14ac:dyDescent="0.3">
      <c r="A9" s="42">
        <v>8</v>
      </c>
      <c r="B9" s="2">
        <v>10132</v>
      </c>
      <c r="C9" s="53" t="s">
        <v>18</v>
      </c>
      <c r="D9" s="51">
        <v>45826</v>
      </c>
      <c r="E9" s="51"/>
      <c r="F9" s="51"/>
      <c r="G9" s="50">
        <v>45826</v>
      </c>
      <c r="H9" s="70">
        <v>0</v>
      </c>
      <c r="I9" s="2">
        <v>16804706</v>
      </c>
      <c r="J9" s="49">
        <f t="shared" si="3"/>
        <v>26111.18</v>
      </c>
      <c r="K9" s="49">
        <f t="shared" si="0"/>
        <v>19714.82</v>
      </c>
      <c r="L9" s="72">
        <v>2282.06</v>
      </c>
      <c r="M9" s="13">
        <v>653459</v>
      </c>
      <c r="N9" s="18">
        <v>45827</v>
      </c>
      <c r="O9" s="16">
        <v>103.41670000000001</v>
      </c>
      <c r="P9" s="51">
        <f t="shared" si="4"/>
        <v>22.066648810105136</v>
      </c>
      <c r="Q9" s="72">
        <v>3763.2</v>
      </c>
      <c r="R9" s="13">
        <v>510982</v>
      </c>
      <c r="S9" s="12">
        <v>45825</v>
      </c>
      <c r="T9" s="16">
        <v>102.15</v>
      </c>
      <c r="U9" s="51">
        <f t="shared" si="5"/>
        <v>36.839941262848747</v>
      </c>
      <c r="V9" s="14">
        <v>7133.86</v>
      </c>
      <c r="W9" s="13">
        <v>506000328</v>
      </c>
      <c r="X9" s="18">
        <v>45838</v>
      </c>
      <c r="Y9" s="16">
        <v>107.3554</v>
      </c>
      <c r="Z9" s="51">
        <f t="shared" si="6"/>
        <v>66.450872522481404</v>
      </c>
      <c r="AA9" s="72">
        <v>3680</v>
      </c>
      <c r="AB9" s="13">
        <v>1566191</v>
      </c>
      <c r="AC9" s="18">
        <v>45825</v>
      </c>
      <c r="AD9" s="16">
        <v>102.15</v>
      </c>
      <c r="AE9" s="51">
        <f t="shared" si="7"/>
        <v>36.025452765540869</v>
      </c>
      <c r="AF9" s="73">
        <v>4043.2</v>
      </c>
      <c r="AG9" s="2">
        <v>622266</v>
      </c>
      <c r="AH9" s="3">
        <v>45825</v>
      </c>
      <c r="AI9" s="7">
        <v>102.15</v>
      </c>
      <c r="AJ9" s="51">
        <f>AF9/AI9</f>
        <v>39.581008321096419</v>
      </c>
      <c r="AK9" s="74">
        <v>5208.8599999999997</v>
      </c>
      <c r="AL9" s="53">
        <v>414133</v>
      </c>
      <c r="AM9" s="54">
        <v>46042</v>
      </c>
      <c r="AN9" s="16">
        <v>344.5</v>
      </c>
      <c r="AO9" s="51">
        <f>AK9/AN9</f>
        <v>15.120058055152393</v>
      </c>
      <c r="AP9" s="53"/>
      <c r="AQ9" s="53"/>
      <c r="AR9" s="53"/>
      <c r="AS9" s="16"/>
      <c r="AT9" s="51"/>
      <c r="AU9" s="53"/>
      <c r="AV9" s="53"/>
      <c r="AW9" s="53"/>
      <c r="AX9" s="16"/>
      <c r="AY9" s="51">
        <f t="shared" si="1"/>
        <v>0</v>
      </c>
      <c r="AZ9" s="55"/>
      <c r="BA9" s="55"/>
      <c r="BB9" s="55"/>
      <c r="BC9" s="16"/>
      <c r="BD9" s="51"/>
    </row>
    <row r="10" spans="1:67" ht="13.95" customHeight="1" x14ac:dyDescent="0.3">
      <c r="A10" s="42">
        <v>9</v>
      </c>
      <c r="B10" s="2">
        <v>10364</v>
      </c>
      <c r="C10" s="53" t="s">
        <v>19</v>
      </c>
      <c r="D10" s="51">
        <v>43812.6</v>
      </c>
      <c r="E10" s="51">
        <f t="shared" si="9"/>
        <v>408.10802251214187</v>
      </c>
      <c r="F10" s="51">
        <f t="shared" si="2"/>
        <v>102.02700562803547</v>
      </c>
      <c r="G10" s="50">
        <v>45838</v>
      </c>
      <c r="H10" s="70">
        <v>107.3554</v>
      </c>
      <c r="I10" s="2">
        <v>25455965</v>
      </c>
      <c r="J10" s="49">
        <f t="shared" si="3"/>
        <v>44263.8</v>
      </c>
      <c r="K10" s="49">
        <f t="shared" si="0"/>
        <v>-451.20000000000437</v>
      </c>
      <c r="L10" s="14">
        <v>35263.800000000003</v>
      </c>
      <c r="M10" s="15">
        <v>0</v>
      </c>
      <c r="N10" s="12">
        <v>45835</v>
      </c>
      <c r="O10" s="14">
        <v>106.59480000000001</v>
      </c>
      <c r="P10" s="51">
        <f t="shared" si="4"/>
        <v>330.82101565930049</v>
      </c>
      <c r="Q10" s="14">
        <v>2000</v>
      </c>
      <c r="R10" s="13">
        <v>404839</v>
      </c>
      <c r="S10" s="12">
        <v>45853</v>
      </c>
      <c r="T10" s="14">
        <v>115.55500000000001</v>
      </c>
      <c r="U10" s="51">
        <f t="shared" si="5"/>
        <v>17.30777551815153</v>
      </c>
      <c r="V10" s="14">
        <v>5000</v>
      </c>
      <c r="W10" s="13">
        <v>831673</v>
      </c>
      <c r="X10" s="12">
        <v>46190</v>
      </c>
      <c r="Y10" s="14">
        <v>596.78240000000005</v>
      </c>
      <c r="Z10" s="51">
        <f t="shared" si="6"/>
        <v>8.3782631659378684</v>
      </c>
      <c r="AA10" s="14">
        <v>2000</v>
      </c>
      <c r="AB10" s="13">
        <v>635644</v>
      </c>
      <c r="AC10" s="12">
        <v>45888</v>
      </c>
      <c r="AD10" s="14">
        <v>135.47030000000001</v>
      </c>
      <c r="AE10" s="51">
        <f t="shared" si="7"/>
        <v>14.763383560824771</v>
      </c>
      <c r="AF10" s="11"/>
      <c r="AG10" s="11"/>
      <c r="AH10" s="11"/>
      <c r="AI10" s="14"/>
      <c r="AJ10" s="51"/>
      <c r="AK10" s="53"/>
      <c r="AL10" s="53"/>
      <c r="AM10" s="53"/>
      <c r="AO10" s="51"/>
      <c r="AP10" s="53"/>
      <c r="AQ10" s="53"/>
      <c r="AR10" s="53"/>
      <c r="AS10" s="14"/>
      <c r="AT10" s="51"/>
      <c r="AU10" s="53"/>
      <c r="AV10" s="53"/>
      <c r="AW10" s="53"/>
      <c r="AX10" s="14"/>
      <c r="AY10" s="51">
        <f t="shared" si="1"/>
        <v>0</v>
      </c>
      <c r="AZ10" s="55"/>
      <c r="BA10" s="55"/>
      <c r="BB10" s="55"/>
      <c r="BC10" s="14"/>
      <c r="BD10" s="51"/>
    </row>
    <row r="11" spans="1:67" ht="13.2" customHeight="1" x14ac:dyDescent="0.3">
      <c r="A11" s="42">
        <v>10</v>
      </c>
      <c r="B11" s="2">
        <v>10362</v>
      </c>
      <c r="C11" s="53" t="s">
        <v>20</v>
      </c>
      <c r="D11" s="51">
        <v>35263.800000000003</v>
      </c>
      <c r="E11" s="51">
        <f t="shared" si="9"/>
        <v>328.47718885123618</v>
      </c>
      <c r="F11" s="51">
        <f t="shared" si="2"/>
        <v>82.119297212809045</v>
      </c>
      <c r="G11" s="50">
        <v>45838</v>
      </c>
      <c r="H11" s="70">
        <v>107.3554</v>
      </c>
      <c r="I11" s="2">
        <v>16452189</v>
      </c>
      <c r="J11" s="49">
        <f t="shared" si="3"/>
        <v>35263.799999999996</v>
      </c>
      <c r="K11" s="49">
        <f t="shared" si="0"/>
        <v>0</v>
      </c>
      <c r="L11" s="51">
        <v>32912.879999999997</v>
      </c>
      <c r="M11" s="2">
        <v>0</v>
      </c>
      <c r="N11" s="3">
        <v>45835</v>
      </c>
      <c r="O11" s="45">
        <v>106.59480000000001</v>
      </c>
      <c r="P11" s="51">
        <f t="shared" si="4"/>
        <v>308.76628128201372</v>
      </c>
      <c r="Q11" s="51">
        <v>2350.92</v>
      </c>
      <c r="R11" s="60">
        <v>611405</v>
      </c>
      <c r="S11" s="61">
        <v>46192</v>
      </c>
      <c r="T11" s="45">
        <v>605.39369999999997</v>
      </c>
      <c r="U11" s="51">
        <f t="shared" si="5"/>
        <v>3.8832911541695929</v>
      </c>
      <c r="V11" s="17"/>
      <c r="W11" s="11"/>
      <c r="X11" s="13"/>
      <c r="Y11" s="45"/>
      <c r="Z11" s="51"/>
      <c r="AA11" s="11"/>
      <c r="AB11" s="11"/>
      <c r="AC11" s="11"/>
      <c r="AD11" s="45"/>
      <c r="AE11" s="51"/>
      <c r="AF11" s="11"/>
      <c r="AG11" s="11"/>
      <c r="AH11" s="11"/>
      <c r="AI11" s="45"/>
      <c r="AJ11" s="51"/>
      <c r="AK11" s="53"/>
      <c r="AL11" s="53"/>
      <c r="AM11" s="53"/>
      <c r="AN11" s="45"/>
      <c r="AO11" s="51"/>
      <c r="AP11" s="53"/>
      <c r="AQ11" s="53"/>
      <c r="AR11" s="53"/>
      <c r="AS11" s="45"/>
      <c r="AT11" s="51"/>
      <c r="AU11" s="53"/>
      <c r="AV11" s="53"/>
      <c r="AW11" s="53"/>
      <c r="AX11" s="45"/>
      <c r="AY11" s="51">
        <f t="shared" si="1"/>
        <v>0</v>
      </c>
      <c r="AZ11" s="55"/>
      <c r="BA11" s="55"/>
      <c r="BB11" s="55"/>
      <c r="BC11" s="45"/>
      <c r="BD11" s="51"/>
    </row>
    <row r="12" spans="1:67" ht="14.4" customHeight="1" x14ac:dyDescent="0.3">
      <c r="A12" s="42">
        <v>11</v>
      </c>
      <c r="B12" s="2">
        <v>11275</v>
      </c>
      <c r="C12" s="53" t="s">
        <v>21</v>
      </c>
      <c r="D12" s="45">
        <v>46060.94</v>
      </c>
      <c r="E12" s="51"/>
      <c r="F12" s="51"/>
      <c r="G12" s="50">
        <v>45891</v>
      </c>
      <c r="H12" s="70">
        <v>0</v>
      </c>
      <c r="I12" s="2">
        <v>20705077</v>
      </c>
      <c r="J12" s="49">
        <f t="shared" si="3"/>
        <v>48987.19</v>
      </c>
      <c r="K12" s="49">
        <f t="shared" si="0"/>
        <v>-2926.25</v>
      </c>
      <c r="L12" s="14">
        <v>9212.19</v>
      </c>
      <c r="M12" s="13">
        <v>80568</v>
      </c>
      <c r="N12" s="18">
        <v>45882</v>
      </c>
      <c r="O12" s="16">
        <v>133.18209999999999</v>
      </c>
      <c r="P12" s="51">
        <f t="shared" si="4"/>
        <v>69.169880937453314</v>
      </c>
      <c r="Q12" s="19">
        <v>32775</v>
      </c>
      <c r="R12" s="20">
        <v>7093352</v>
      </c>
      <c r="S12" s="12">
        <v>46120</v>
      </c>
      <c r="T12" s="16">
        <v>475.00830000000002</v>
      </c>
      <c r="U12" s="51">
        <f t="shared" si="5"/>
        <v>68.998794336856847</v>
      </c>
      <c r="V12" s="14">
        <v>2000</v>
      </c>
      <c r="W12" s="13">
        <v>635644</v>
      </c>
      <c r="X12" s="18">
        <v>45888</v>
      </c>
      <c r="Y12" s="16">
        <v>135.47030000000001</v>
      </c>
      <c r="Z12" s="51">
        <f t="shared" si="6"/>
        <v>14.763383560824771</v>
      </c>
      <c r="AA12" s="16">
        <v>5000</v>
      </c>
      <c r="AB12" s="20">
        <v>831673</v>
      </c>
      <c r="AC12" s="21">
        <v>46190</v>
      </c>
      <c r="AD12" s="16">
        <v>596.78240000000005</v>
      </c>
      <c r="AE12" s="51">
        <f t="shared" si="7"/>
        <v>8.3782631659378684</v>
      </c>
      <c r="AF12" s="21"/>
      <c r="AG12" s="11"/>
      <c r="AH12" s="11"/>
      <c r="AI12" s="16"/>
      <c r="AJ12" s="51"/>
      <c r="AK12" s="53"/>
      <c r="AL12" s="53"/>
      <c r="AM12" s="53"/>
      <c r="AN12" s="16"/>
      <c r="AO12" s="51"/>
      <c r="AP12" s="53"/>
      <c r="AQ12" s="53"/>
      <c r="AR12" s="53"/>
      <c r="AS12" s="16"/>
      <c r="AT12" s="51"/>
      <c r="AU12" s="53"/>
      <c r="AV12" s="53"/>
      <c r="AW12" s="53"/>
      <c r="AX12" s="16"/>
      <c r="AY12" s="51">
        <f t="shared" si="1"/>
        <v>0</v>
      </c>
      <c r="AZ12" s="55"/>
      <c r="BA12" s="55"/>
      <c r="BB12" s="55"/>
      <c r="BC12" s="16"/>
      <c r="BD12" s="51"/>
    </row>
    <row r="13" spans="1:67" ht="14.4" x14ac:dyDescent="0.3">
      <c r="A13" s="42">
        <v>12</v>
      </c>
      <c r="B13" s="2">
        <v>11481</v>
      </c>
      <c r="C13" s="53" t="s">
        <v>112</v>
      </c>
      <c r="D13" s="64">
        <v>62668.2</v>
      </c>
      <c r="E13" s="51">
        <f t="shared" si="9"/>
        <v>427.1430012514075</v>
      </c>
      <c r="F13" s="51">
        <f t="shared" si="2"/>
        <v>106.78575031285187</v>
      </c>
      <c r="G13" s="50">
        <v>45898</v>
      </c>
      <c r="H13" s="70">
        <v>146.7148</v>
      </c>
      <c r="I13" s="2">
        <v>26159292</v>
      </c>
      <c r="J13" s="49">
        <f t="shared" si="3"/>
        <v>51300.480000000003</v>
      </c>
      <c r="K13" s="49">
        <f t="shared" si="0"/>
        <v>11367.719999999994</v>
      </c>
      <c r="L13" s="2">
        <v>51300.480000000003</v>
      </c>
      <c r="M13" s="2">
        <v>0</v>
      </c>
      <c r="N13" s="50">
        <v>45897</v>
      </c>
      <c r="O13" s="51">
        <v>145.3809</v>
      </c>
      <c r="P13" s="51">
        <f t="shared" si="4"/>
        <v>352.8694622195901</v>
      </c>
      <c r="Q13" s="22"/>
      <c r="R13" s="2"/>
      <c r="S13" s="2"/>
      <c r="T13" s="51"/>
      <c r="U13" s="51"/>
      <c r="V13" s="22"/>
      <c r="W13" s="53"/>
      <c r="X13" s="2"/>
      <c r="Y13" s="51"/>
      <c r="Z13" s="51"/>
      <c r="AA13" s="53"/>
      <c r="AB13" s="53"/>
      <c r="AC13" s="53"/>
      <c r="AD13" s="51"/>
      <c r="AE13" s="51"/>
      <c r="AF13" s="53"/>
      <c r="AG13" s="53"/>
      <c r="AH13" s="53"/>
      <c r="AI13" s="51"/>
      <c r="AJ13" s="51"/>
      <c r="AK13" s="53"/>
      <c r="AL13" s="53"/>
      <c r="AM13" s="53"/>
      <c r="AN13" s="51"/>
      <c r="AO13" s="51"/>
      <c r="AP13" s="53"/>
      <c r="AQ13" s="53"/>
      <c r="AR13" s="53"/>
      <c r="AS13" s="51"/>
      <c r="AT13" s="51"/>
      <c r="AU13" s="53"/>
      <c r="AV13" s="53"/>
      <c r="AW13" s="53"/>
      <c r="AX13" s="51"/>
      <c r="AY13" s="51">
        <f t="shared" si="1"/>
        <v>0</v>
      </c>
      <c r="AZ13" s="55"/>
      <c r="BA13" s="55"/>
      <c r="BB13" s="55"/>
      <c r="BC13" s="51"/>
      <c r="BD13" s="51"/>
    </row>
    <row r="14" spans="1:67" ht="14.4" customHeight="1" x14ac:dyDescent="0.3">
      <c r="A14" s="42">
        <v>13</v>
      </c>
      <c r="B14" s="2">
        <v>11561</v>
      </c>
      <c r="C14" s="53" t="s">
        <v>22</v>
      </c>
      <c r="D14" s="65">
        <v>80075.55</v>
      </c>
      <c r="E14" s="51"/>
      <c r="F14" s="51"/>
      <c r="G14" s="50">
        <v>45903</v>
      </c>
      <c r="H14" s="70">
        <v>0</v>
      </c>
      <c r="I14" s="2">
        <v>21024647</v>
      </c>
      <c r="J14" s="49">
        <f t="shared" si="3"/>
        <v>41123</v>
      </c>
      <c r="K14" s="49">
        <f t="shared" si="0"/>
        <v>38952.550000000003</v>
      </c>
      <c r="L14" s="51">
        <v>8699.34</v>
      </c>
      <c r="M14" s="2">
        <v>563029</v>
      </c>
      <c r="N14" s="50">
        <v>45904</v>
      </c>
      <c r="O14" s="51">
        <v>151.38329999999999</v>
      </c>
      <c r="P14" s="51">
        <f t="shared" si="4"/>
        <v>57.465651759474135</v>
      </c>
      <c r="Q14" s="51">
        <v>5518.0000000000009</v>
      </c>
      <c r="R14" s="2">
        <v>510000005</v>
      </c>
      <c r="S14" s="50">
        <v>45930</v>
      </c>
      <c r="T14" s="51">
        <v>177.1703</v>
      </c>
      <c r="U14" s="51">
        <f t="shared" si="5"/>
        <v>31.145175009581184</v>
      </c>
      <c r="V14" s="14">
        <v>6991.7999999999993</v>
      </c>
      <c r="W14" s="23" t="s">
        <v>23</v>
      </c>
      <c r="X14" s="3">
        <v>45961</v>
      </c>
      <c r="Y14" s="51">
        <v>223.09</v>
      </c>
      <c r="Z14" s="51">
        <f t="shared" si="6"/>
        <v>31.340714509839074</v>
      </c>
      <c r="AA14" s="2">
        <v>9720.489999999998</v>
      </c>
      <c r="AB14" s="43">
        <v>511000443</v>
      </c>
      <c r="AC14" s="3">
        <v>45989</v>
      </c>
      <c r="AD14" s="51">
        <v>245.05549999999999</v>
      </c>
      <c r="AE14" s="51">
        <f t="shared" si="7"/>
        <v>39.666483714913554</v>
      </c>
      <c r="AF14" s="51">
        <v>10193.370000000001</v>
      </c>
      <c r="AG14" s="24">
        <v>512000459</v>
      </c>
      <c r="AH14" s="50">
        <v>46021</v>
      </c>
      <c r="AI14" s="51">
        <v>298.1431</v>
      </c>
      <c r="AJ14" s="51">
        <f t="shared" si="8"/>
        <v>34.189521743082437</v>
      </c>
      <c r="AK14" s="53"/>
      <c r="AL14" s="53"/>
      <c r="AM14" s="53"/>
      <c r="AN14" s="51"/>
      <c r="AO14" s="51"/>
      <c r="AP14" s="53"/>
      <c r="AQ14" s="53"/>
      <c r="AR14" s="53"/>
      <c r="AS14" s="51"/>
      <c r="AT14" s="51"/>
      <c r="AU14" s="53"/>
      <c r="AV14" s="53"/>
      <c r="AW14" s="53"/>
      <c r="AX14" s="51"/>
      <c r="AY14" s="51">
        <f t="shared" si="1"/>
        <v>0</v>
      </c>
      <c r="AZ14" s="55"/>
      <c r="BA14" s="55"/>
      <c r="BB14" s="55"/>
      <c r="BC14" s="51"/>
      <c r="BD14" s="51"/>
    </row>
    <row r="15" spans="1:67" ht="13.95" customHeight="1" x14ac:dyDescent="0.3">
      <c r="A15" s="42">
        <v>14</v>
      </c>
      <c r="B15" s="2">
        <v>11779</v>
      </c>
      <c r="C15" s="53" t="s">
        <v>176</v>
      </c>
      <c r="D15" s="51">
        <v>660477.17000000004</v>
      </c>
      <c r="E15" s="51"/>
      <c r="F15" s="51"/>
      <c r="G15" s="50">
        <v>45919</v>
      </c>
      <c r="H15" s="70">
        <v>0</v>
      </c>
      <c r="I15" s="2">
        <v>12737953</v>
      </c>
      <c r="J15" s="49">
        <f t="shared" si="3"/>
        <v>352644.47</v>
      </c>
      <c r="K15" s="49">
        <f t="shared" si="0"/>
        <v>307832.70000000007</v>
      </c>
      <c r="L15" s="31">
        <v>44096</v>
      </c>
      <c r="M15" s="24">
        <v>592441</v>
      </c>
      <c r="N15" s="50">
        <v>46093</v>
      </c>
      <c r="O15" s="51">
        <v>440.7319</v>
      </c>
      <c r="P15" s="51">
        <f t="shared" si="4"/>
        <v>100.0517548196534</v>
      </c>
      <c r="Q15" s="51">
        <v>150000</v>
      </c>
      <c r="R15" s="2">
        <v>67365369</v>
      </c>
      <c r="S15" s="50">
        <v>45902</v>
      </c>
      <c r="T15" s="51">
        <v>148.0729</v>
      </c>
      <c r="U15" s="51">
        <f t="shared" si="5"/>
        <v>1013.014535407897</v>
      </c>
      <c r="V15" s="51">
        <v>48275</v>
      </c>
      <c r="W15" s="44">
        <v>630331</v>
      </c>
      <c r="X15" s="50">
        <v>46134</v>
      </c>
      <c r="Y15" s="51">
        <v>482.54360000000003</v>
      </c>
      <c r="Z15" s="51">
        <f t="shared" si="6"/>
        <v>100.04277333695856</v>
      </c>
      <c r="AA15" s="2">
        <v>50050.47</v>
      </c>
      <c r="AB15" s="2">
        <v>604016</v>
      </c>
      <c r="AC15" s="50">
        <v>46167</v>
      </c>
      <c r="AD15" s="51">
        <v>530.50469999999996</v>
      </c>
      <c r="AE15" s="51">
        <f t="shared" si="7"/>
        <v>94.345007687962053</v>
      </c>
      <c r="AF15" s="45">
        <v>60223</v>
      </c>
      <c r="AG15" s="52">
        <v>22144</v>
      </c>
      <c r="AH15" s="46">
        <v>46191</v>
      </c>
      <c r="AI15" s="51">
        <v>602.33240000000001</v>
      </c>
      <c r="AJ15" s="51">
        <f t="shared" si="8"/>
        <v>99.982999420253662</v>
      </c>
      <c r="AK15" s="46"/>
      <c r="AL15" s="53"/>
      <c r="AM15" s="53"/>
      <c r="AN15" s="51"/>
      <c r="AO15" s="51"/>
      <c r="AP15" s="53"/>
      <c r="AQ15" s="53"/>
      <c r="AR15" s="53"/>
      <c r="AS15" s="51"/>
      <c r="AT15" s="51"/>
      <c r="AU15" s="53"/>
      <c r="AV15" s="53"/>
      <c r="AW15" s="53"/>
      <c r="AX15" s="51"/>
      <c r="AY15" s="51">
        <f t="shared" si="1"/>
        <v>0</v>
      </c>
      <c r="AZ15" s="55"/>
      <c r="BA15" s="55"/>
      <c r="BB15" s="55"/>
      <c r="BC15" s="51"/>
      <c r="BD15" s="51"/>
    </row>
    <row r="16" spans="1:67" ht="14.4" x14ac:dyDescent="0.3">
      <c r="A16" s="42">
        <v>15</v>
      </c>
      <c r="B16" s="2">
        <v>11847</v>
      </c>
      <c r="C16" s="53" t="s">
        <v>24</v>
      </c>
      <c r="D16" s="51">
        <v>80439.81</v>
      </c>
      <c r="E16" s="51"/>
      <c r="F16" s="51"/>
      <c r="G16" s="50">
        <v>45929</v>
      </c>
      <c r="H16" s="70">
        <v>0</v>
      </c>
      <c r="I16" s="2">
        <v>16029785</v>
      </c>
      <c r="J16" s="49">
        <f t="shared" si="3"/>
        <v>64977.3</v>
      </c>
      <c r="K16" s="49">
        <f t="shared" si="0"/>
        <v>15462.509999999995</v>
      </c>
      <c r="L16" s="51">
        <v>64977.3</v>
      </c>
      <c r="M16" s="2">
        <v>0</v>
      </c>
      <c r="N16" s="50">
        <v>45926</v>
      </c>
      <c r="O16" s="51">
        <v>169.7636</v>
      </c>
      <c r="P16" s="51">
        <f t="shared" si="4"/>
        <v>382.75166172253654</v>
      </c>
      <c r="Q16" s="22"/>
      <c r="R16" s="2"/>
      <c r="S16" s="2"/>
      <c r="T16" s="51"/>
      <c r="U16" s="51"/>
      <c r="V16" s="22"/>
      <c r="W16" s="53"/>
      <c r="X16" s="2"/>
      <c r="Y16" s="51"/>
      <c r="Z16" s="51"/>
      <c r="AA16" s="53"/>
      <c r="AB16" s="53"/>
      <c r="AC16" s="53"/>
      <c r="AD16" s="51"/>
      <c r="AE16" s="51"/>
      <c r="AF16" s="53"/>
      <c r="AG16" s="53"/>
      <c r="AH16" s="53"/>
      <c r="AI16" s="51"/>
      <c r="AJ16" s="51"/>
      <c r="AK16" s="53"/>
      <c r="AL16" s="53"/>
      <c r="AM16" s="53"/>
      <c r="AN16" s="51"/>
      <c r="AO16" s="51"/>
      <c r="AP16" s="53"/>
      <c r="AQ16" s="53"/>
      <c r="AR16" s="53"/>
      <c r="AS16" s="51"/>
      <c r="AT16" s="51"/>
      <c r="AU16" s="53"/>
      <c r="AV16" s="53"/>
      <c r="AW16" s="53"/>
      <c r="AX16" s="51"/>
      <c r="AY16" s="51">
        <f t="shared" si="1"/>
        <v>0</v>
      </c>
      <c r="AZ16" s="55"/>
      <c r="BA16" s="55"/>
      <c r="BB16" s="55"/>
      <c r="BC16" s="51"/>
      <c r="BD16" s="51"/>
    </row>
    <row r="17" spans="1:67" ht="14.4" x14ac:dyDescent="0.3">
      <c r="A17" s="42">
        <v>16</v>
      </c>
      <c r="B17" s="2">
        <v>11973</v>
      </c>
      <c r="C17" s="53" t="s">
        <v>177</v>
      </c>
      <c r="D17" s="51">
        <v>76508.59</v>
      </c>
      <c r="E17" s="51"/>
      <c r="F17" s="51"/>
      <c r="G17" s="50">
        <v>45933</v>
      </c>
      <c r="H17" s="70">
        <v>0</v>
      </c>
      <c r="I17" s="2">
        <v>15217941</v>
      </c>
      <c r="J17" s="49">
        <f t="shared" si="3"/>
        <v>19531.12</v>
      </c>
      <c r="K17" s="49">
        <f t="shared" si="0"/>
        <v>56977.47</v>
      </c>
      <c r="L17" s="45">
        <v>1340.48</v>
      </c>
      <c r="M17" s="23" t="s">
        <v>23</v>
      </c>
      <c r="N17" s="3">
        <v>45961</v>
      </c>
      <c r="O17" s="45">
        <v>223.09</v>
      </c>
      <c r="P17" s="51">
        <f t="shared" si="4"/>
        <v>6.0086960419561608</v>
      </c>
      <c r="Q17" s="51">
        <v>9065</v>
      </c>
      <c r="R17" s="2">
        <v>720818</v>
      </c>
      <c r="S17" s="50">
        <v>45932</v>
      </c>
      <c r="T17" s="45">
        <v>178.98220000000001</v>
      </c>
      <c r="U17" s="51">
        <f t="shared" si="5"/>
        <v>50.647494555324492</v>
      </c>
      <c r="V17" s="2">
        <v>2705.64</v>
      </c>
      <c r="W17" s="2">
        <v>601000297</v>
      </c>
      <c r="X17" s="50">
        <v>46052</v>
      </c>
      <c r="Y17" s="45">
        <v>367.30689999999998</v>
      </c>
      <c r="Z17" s="51">
        <f t="shared" si="6"/>
        <v>7.3661562034364181</v>
      </c>
      <c r="AA17" s="51">
        <v>6420</v>
      </c>
      <c r="AB17" s="2">
        <v>602000371</v>
      </c>
      <c r="AC17" s="50">
        <v>46080</v>
      </c>
      <c r="AD17" s="45">
        <v>417.35789999999997</v>
      </c>
      <c r="AE17" s="51">
        <f t="shared" si="7"/>
        <v>15.382481079188869</v>
      </c>
      <c r="AF17" s="53"/>
      <c r="AG17" s="53"/>
      <c r="AH17" s="53"/>
      <c r="AI17" s="45"/>
      <c r="AJ17" s="51"/>
      <c r="AK17" s="53"/>
      <c r="AL17" s="53"/>
      <c r="AM17" s="53"/>
      <c r="AN17" s="45"/>
      <c r="AO17" s="51"/>
      <c r="AP17" s="53"/>
      <c r="AQ17" s="53"/>
      <c r="AR17" s="53"/>
      <c r="AS17" s="45"/>
      <c r="AT17" s="51"/>
      <c r="AU17" s="53"/>
      <c r="AV17" s="53"/>
      <c r="AW17" s="53"/>
      <c r="AX17" s="45"/>
      <c r="AY17" s="51">
        <f t="shared" si="1"/>
        <v>0</v>
      </c>
      <c r="AZ17" s="55"/>
      <c r="BA17" s="55"/>
      <c r="BB17" s="55"/>
      <c r="BC17" s="45"/>
      <c r="BD17" s="51"/>
    </row>
    <row r="18" spans="1:67" ht="14.4" x14ac:dyDescent="0.3">
      <c r="A18" s="42">
        <v>17</v>
      </c>
      <c r="B18" s="2">
        <v>12247</v>
      </c>
      <c r="C18" s="53" t="s">
        <v>113</v>
      </c>
      <c r="D18" s="43">
        <v>73086.95</v>
      </c>
      <c r="E18" s="51"/>
      <c r="F18" s="51"/>
      <c r="G18" s="50">
        <v>45960</v>
      </c>
      <c r="H18" s="70">
        <v>0</v>
      </c>
      <c r="I18" s="2">
        <v>24020249</v>
      </c>
      <c r="J18" s="49">
        <f t="shared" si="3"/>
        <v>73086.950000000012</v>
      </c>
      <c r="K18" s="49">
        <f t="shared" si="0"/>
        <v>0</v>
      </c>
      <c r="L18" s="51">
        <v>71996.100000000006</v>
      </c>
      <c r="M18" s="43">
        <v>0</v>
      </c>
      <c r="N18" s="3">
        <v>45958</v>
      </c>
      <c r="O18" s="45">
        <v>217.62459999999999</v>
      </c>
      <c r="P18" s="51">
        <f t="shared" si="4"/>
        <v>330.82702966484493</v>
      </c>
      <c r="Q18" s="6">
        <v>1090.8499999999999</v>
      </c>
      <c r="R18" s="2">
        <v>414133</v>
      </c>
      <c r="S18" s="50">
        <v>46042</v>
      </c>
      <c r="T18" s="45">
        <v>344.50709999999998</v>
      </c>
      <c r="U18" s="51">
        <f t="shared" si="5"/>
        <v>3.166407891158121</v>
      </c>
      <c r="V18" s="22"/>
      <c r="W18" s="53"/>
      <c r="X18" s="2"/>
      <c r="Y18" s="45"/>
      <c r="Z18" s="51"/>
      <c r="AA18" s="53"/>
      <c r="AB18" s="53"/>
      <c r="AC18" s="53"/>
      <c r="AD18" s="45"/>
      <c r="AE18" s="51"/>
      <c r="AF18" s="53"/>
      <c r="AG18" s="53"/>
      <c r="AH18" s="53"/>
      <c r="AI18" s="45"/>
      <c r="AJ18" s="51"/>
      <c r="AK18" s="53"/>
      <c r="AL18" s="53"/>
      <c r="AM18" s="53"/>
      <c r="AN18" s="45"/>
      <c r="AO18" s="51"/>
      <c r="AP18" s="53"/>
      <c r="AQ18" s="53"/>
      <c r="AR18" s="53"/>
      <c r="AS18" s="45"/>
      <c r="AT18" s="51"/>
      <c r="AU18" s="53"/>
      <c r="AV18" s="53"/>
      <c r="AW18" s="53"/>
      <c r="AX18" s="45"/>
      <c r="AY18" s="51">
        <f t="shared" si="1"/>
        <v>0</v>
      </c>
      <c r="AZ18" s="55"/>
      <c r="BA18" s="55"/>
      <c r="BB18" s="55"/>
      <c r="BC18" s="45"/>
      <c r="BD18" s="51"/>
    </row>
    <row r="19" spans="1:67" ht="14.4" x14ac:dyDescent="0.3">
      <c r="A19" s="42">
        <v>18</v>
      </c>
      <c r="B19" s="2">
        <v>12507</v>
      </c>
      <c r="C19" s="53" t="s">
        <v>25</v>
      </c>
      <c r="D19" s="45">
        <v>596762.39</v>
      </c>
      <c r="E19" s="51"/>
      <c r="F19" s="51"/>
      <c r="G19" s="50">
        <v>45979</v>
      </c>
      <c r="H19" s="70">
        <v>0</v>
      </c>
      <c r="I19" s="2">
        <v>20292712</v>
      </c>
      <c r="J19" s="49">
        <f t="shared" si="3"/>
        <v>432856.55</v>
      </c>
      <c r="K19" s="49">
        <f t="shared" si="0"/>
        <v>163905.84000000003</v>
      </c>
      <c r="L19" s="51">
        <v>30000</v>
      </c>
      <c r="M19" s="23">
        <v>927115</v>
      </c>
      <c r="N19" s="3">
        <v>45961</v>
      </c>
      <c r="O19" s="45">
        <v>223.09</v>
      </c>
      <c r="P19" s="51">
        <f t="shared" si="4"/>
        <v>134.47487561074007</v>
      </c>
      <c r="Q19" s="51">
        <v>14560</v>
      </c>
      <c r="R19" s="43">
        <v>200491</v>
      </c>
      <c r="S19" s="50">
        <v>45961</v>
      </c>
      <c r="T19" s="45">
        <v>223.09</v>
      </c>
      <c r="U19" s="51">
        <f t="shared" si="5"/>
        <v>65.265139629745846</v>
      </c>
      <c r="V19" s="51">
        <v>140</v>
      </c>
      <c r="W19" s="24">
        <v>739925</v>
      </c>
      <c r="X19" s="50">
        <v>45961</v>
      </c>
      <c r="Y19" s="45">
        <v>223.09</v>
      </c>
      <c r="Z19" s="51">
        <f t="shared" si="6"/>
        <v>0.62754941951678689</v>
      </c>
      <c r="AA19" s="2">
        <v>68189.2</v>
      </c>
      <c r="AB19" s="2">
        <v>761895</v>
      </c>
      <c r="AC19" s="50">
        <v>45973</v>
      </c>
      <c r="AD19" s="45">
        <v>232.4632</v>
      </c>
      <c r="AE19" s="51">
        <f t="shared" si="7"/>
        <v>293.33331039063387</v>
      </c>
      <c r="AF19" s="51">
        <v>84400.29</v>
      </c>
      <c r="AG19" s="43">
        <v>496458</v>
      </c>
      <c r="AH19" s="50">
        <v>46014</v>
      </c>
      <c r="AI19" s="45">
        <v>286.995</v>
      </c>
      <c r="AJ19" s="51">
        <f t="shared" si="8"/>
        <v>294.08278889876129</v>
      </c>
      <c r="AK19" s="66">
        <v>42187.42</v>
      </c>
      <c r="AL19" s="2">
        <v>194098</v>
      </c>
      <c r="AM19" s="50">
        <v>46084</v>
      </c>
      <c r="AN19" s="45">
        <v>423.68130000000002</v>
      </c>
      <c r="AO19" s="51">
        <f t="shared" si="10"/>
        <v>99.573476573075084</v>
      </c>
      <c r="AP19" s="43">
        <v>48275.86</v>
      </c>
      <c r="AQ19" s="44">
        <v>175688</v>
      </c>
      <c r="AR19" s="50">
        <v>46133</v>
      </c>
      <c r="AS19" s="45">
        <v>481.88069999999999</v>
      </c>
      <c r="AT19" s="51">
        <f t="shared" si="11"/>
        <v>100.18218202140073</v>
      </c>
      <c r="AU19" s="51">
        <v>48522.51</v>
      </c>
      <c r="AV19" s="44">
        <v>886406</v>
      </c>
      <c r="AW19" s="50">
        <v>46140</v>
      </c>
      <c r="AX19" s="45">
        <v>485.2251</v>
      </c>
      <c r="AY19" s="51">
        <f>AU19/AX19</f>
        <v>100</v>
      </c>
      <c r="AZ19" s="45">
        <v>59251.63</v>
      </c>
      <c r="BA19" s="52">
        <v>150588</v>
      </c>
      <c r="BB19" s="46">
        <v>46189</v>
      </c>
      <c r="BC19" s="45">
        <v>592.5163</v>
      </c>
      <c r="BD19" s="51">
        <f t="shared" ref="BD19" si="12">AZ19/BC19</f>
        <v>100</v>
      </c>
      <c r="BE19" s="72">
        <v>22326.34</v>
      </c>
      <c r="BF19" s="2">
        <v>719171</v>
      </c>
      <c r="BG19" s="102">
        <v>46056</v>
      </c>
      <c r="BH19" s="115">
        <v>372.1</v>
      </c>
      <c r="BI19" s="115">
        <f>BE19/BH19</f>
        <v>60.000913732867502</v>
      </c>
      <c r="BJ19" s="72">
        <v>15003.3</v>
      </c>
      <c r="BK19" s="2">
        <v>89319</v>
      </c>
      <c r="BL19" s="103">
        <v>46057</v>
      </c>
      <c r="BM19" s="115">
        <v>375.08</v>
      </c>
      <c r="BN19" s="115">
        <f>BJ19/BM19</f>
        <v>40.000266609789911</v>
      </c>
      <c r="BO19" s="48"/>
    </row>
    <row r="20" spans="1:67" ht="16.2" customHeight="1" x14ac:dyDescent="0.3">
      <c r="A20" s="42">
        <v>19</v>
      </c>
      <c r="B20" s="2">
        <v>12349</v>
      </c>
      <c r="C20" s="53" t="s">
        <v>26</v>
      </c>
      <c r="D20" s="51">
        <v>45975</v>
      </c>
      <c r="E20" s="51">
        <f t="shared" si="9"/>
        <v>203.82133414196869</v>
      </c>
      <c r="F20" s="51">
        <f t="shared" si="2"/>
        <v>50.955333535492173</v>
      </c>
      <c r="G20" s="50">
        <v>45966</v>
      </c>
      <c r="H20" s="70">
        <v>225.5652</v>
      </c>
      <c r="I20" s="2">
        <v>26316891</v>
      </c>
      <c r="J20" s="49">
        <f t="shared" si="3"/>
        <v>77304.290000000008</v>
      </c>
      <c r="K20" s="49">
        <f t="shared" si="0"/>
        <v>-31329.290000000008</v>
      </c>
      <c r="L20" s="51">
        <v>23067.88</v>
      </c>
      <c r="M20" s="41">
        <v>94365</v>
      </c>
      <c r="N20" s="3">
        <v>45964</v>
      </c>
      <c r="O20" s="45">
        <v>223.4023</v>
      </c>
      <c r="P20" s="51">
        <f t="shared" si="4"/>
        <v>103.25712850762952</v>
      </c>
      <c r="Q20" s="51">
        <v>8902.7999999999993</v>
      </c>
      <c r="R20" s="43">
        <v>511000443</v>
      </c>
      <c r="S20" s="50">
        <v>45989</v>
      </c>
      <c r="T20" s="45">
        <v>245.05549999999999</v>
      </c>
      <c r="U20" s="51">
        <f t="shared" si="5"/>
        <v>36.32972938783255</v>
      </c>
      <c r="V20" s="51">
        <v>594.84</v>
      </c>
      <c r="W20" s="24">
        <v>512000459</v>
      </c>
      <c r="X20" s="50">
        <v>46021</v>
      </c>
      <c r="Y20" s="45">
        <v>298.1431</v>
      </c>
      <c r="Z20" s="51">
        <f t="shared" si="6"/>
        <v>1.9951493091740176</v>
      </c>
      <c r="AA20" s="2">
        <v>12467.46</v>
      </c>
      <c r="AB20" s="2">
        <v>601000297</v>
      </c>
      <c r="AC20" s="50">
        <v>46052</v>
      </c>
      <c r="AD20" s="45">
        <v>367.30689999999998</v>
      </c>
      <c r="AE20" s="51">
        <f t="shared" si="7"/>
        <v>33.942896253786685</v>
      </c>
      <c r="AF20" s="51">
        <v>14195</v>
      </c>
      <c r="AG20" s="43">
        <v>602000371</v>
      </c>
      <c r="AH20" s="50">
        <v>46080</v>
      </c>
      <c r="AI20" s="45">
        <v>417.35789999999997</v>
      </c>
      <c r="AJ20" s="51">
        <f t="shared" si="8"/>
        <v>34.011576155620872</v>
      </c>
      <c r="AK20" s="66">
        <v>17580.96</v>
      </c>
      <c r="AL20" s="2">
        <v>605000344</v>
      </c>
      <c r="AM20" s="5">
        <v>46171</v>
      </c>
      <c r="AN20" s="45">
        <v>547.04100000000005</v>
      </c>
      <c r="AO20" s="51">
        <f t="shared" si="10"/>
        <v>32.138285795763018</v>
      </c>
      <c r="AP20" s="43">
        <v>495.35</v>
      </c>
      <c r="AQ20" s="53">
        <v>414133</v>
      </c>
      <c r="AR20" s="54">
        <v>46042</v>
      </c>
      <c r="AS20" s="45">
        <v>344.50709999999998</v>
      </c>
      <c r="AT20" s="51">
        <f t="shared" si="11"/>
        <v>1.4378513534263881</v>
      </c>
      <c r="AU20" s="53"/>
      <c r="AV20" s="53"/>
      <c r="AW20" s="53"/>
      <c r="AX20" s="45"/>
      <c r="AY20" s="51">
        <f>AU20/A20</f>
        <v>0</v>
      </c>
      <c r="AZ20" s="55"/>
      <c r="BA20" s="55"/>
      <c r="BB20" s="55"/>
      <c r="BC20" s="45"/>
      <c r="BD20" s="51"/>
    </row>
    <row r="21" spans="1:67" ht="14.4" customHeight="1" x14ac:dyDescent="0.3">
      <c r="A21" s="42">
        <v>20</v>
      </c>
      <c r="B21" s="2">
        <v>11504</v>
      </c>
      <c r="C21" s="53" t="s">
        <v>27</v>
      </c>
      <c r="D21" s="51">
        <v>45890</v>
      </c>
      <c r="E21" s="51"/>
      <c r="F21" s="51"/>
      <c r="G21" s="50">
        <v>45929</v>
      </c>
      <c r="H21" s="70">
        <v>0</v>
      </c>
      <c r="I21" s="2">
        <v>10335782</v>
      </c>
      <c r="J21" s="49">
        <f t="shared" si="3"/>
        <v>26646.2</v>
      </c>
      <c r="K21" s="49">
        <f t="shared" si="0"/>
        <v>19243.8</v>
      </c>
      <c r="L21" s="51">
        <v>5619</v>
      </c>
      <c r="M21" s="41">
        <v>780784</v>
      </c>
      <c r="N21" s="3">
        <v>45937</v>
      </c>
      <c r="O21" s="45">
        <v>186.8211</v>
      </c>
      <c r="P21" s="51">
        <f t="shared" si="4"/>
        <v>30.076902448385113</v>
      </c>
      <c r="Q21" s="51">
        <v>4360</v>
      </c>
      <c r="R21" s="41">
        <v>466189</v>
      </c>
      <c r="S21" s="50">
        <v>45958</v>
      </c>
      <c r="T21" s="45">
        <v>217.62459999999999</v>
      </c>
      <c r="U21" s="51">
        <f t="shared" si="5"/>
        <v>20.034499776220152</v>
      </c>
      <c r="V21" s="51">
        <v>7700</v>
      </c>
      <c r="W21" s="41">
        <v>22194</v>
      </c>
      <c r="X21" s="3">
        <v>45959</v>
      </c>
      <c r="Y21" s="45">
        <v>219.32400000000001</v>
      </c>
      <c r="Z21" s="51">
        <f t="shared" si="6"/>
        <v>35.10787693093323</v>
      </c>
      <c r="AA21" s="51">
        <v>600</v>
      </c>
      <c r="AB21" s="41">
        <v>87184</v>
      </c>
      <c r="AC21" s="3">
        <v>45966</v>
      </c>
      <c r="AD21" s="45">
        <v>225.5652</v>
      </c>
      <c r="AE21" s="51">
        <f t="shared" si="7"/>
        <v>2.6599847848870306</v>
      </c>
      <c r="AF21" s="2">
        <v>8367.2000000000007</v>
      </c>
      <c r="AG21" s="43">
        <v>414133</v>
      </c>
      <c r="AH21" s="54">
        <v>46042</v>
      </c>
      <c r="AI21" s="45">
        <v>344.50709999999998</v>
      </c>
      <c r="AJ21" s="51">
        <f t="shared" si="8"/>
        <v>24.28745300169431</v>
      </c>
      <c r="AK21" s="54"/>
      <c r="AL21" s="53"/>
      <c r="AM21" s="54"/>
      <c r="AN21" s="45"/>
      <c r="AO21" s="51"/>
      <c r="AP21" s="53"/>
      <c r="AQ21" s="53"/>
      <c r="AR21" s="53"/>
      <c r="AS21" s="45"/>
      <c r="AT21" s="51"/>
      <c r="AU21" s="53"/>
      <c r="AV21" s="53"/>
      <c r="AW21" s="53"/>
      <c r="AX21" s="45"/>
      <c r="AY21" s="51">
        <f>AU21/A21</f>
        <v>0</v>
      </c>
      <c r="AZ21" s="55"/>
      <c r="BA21" s="55"/>
      <c r="BB21" s="55"/>
      <c r="BC21" s="45"/>
      <c r="BD21" s="51"/>
    </row>
    <row r="22" spans="1:67" ht="14.4" x14ac:dyDescent="0.3">
      <c r="A22" s="42">
        <v>21</v>
      </c>
      <c r="B22" s="2">
        <v>12836</v>
      </c>
      <c r="C22" s="53" t="s">
        <v>28</v>
      </c>
      <c r="D22" s="45">
        <v>97184.1</v>
      </c>
      <c r="E22" s="51"/>
      <c r="F22" s="51"/>
      <c r="G22" s="50">
        <v>46000</v>
      </c>
      <c r="H22" s="70">
        <v>0</v>
      </c>
      <c r="I22" s="2">
        <v>20400262</v>
      </c>
      <c r="J22" s="49">
        <f t="shared" si="3"/>
        <v>72821.94</v>
      </c>
      <c r="K22" s="49">
        <f t="shared" si="0"/>
        <v>24362.160000000003</v>
      </c>
      <c r="L22" s="51">
        <v>29156</v>
      </c>
      <c r="M22" s="2">
        <v>558801</v>
      </c>
      <c r="N22" s="50">
        <v>45994</v>
      </c>
      <c r="O22" s="51">
        <v>248.57589999999999</v>
      </c>
      <c r="P22" s="51">
        <f t="shared" si="4"/>
        <v>117.29214296317544</v>
      </c>
      <c r="Q22" s="51">
        <v>14271.27</v>
      </c>
      <c r="R22" s="2">
        <v>601000297</v>
      </c>
      <c r="S22" s="50">
        <v>46052</v>
      </c>
      <c r="T22" s="51">
        <v>367.30689999999998</v>
      </c>
      <c r="U22" s="51">
        <f t="shared" si="5"/>
        <v>38.853803182025715</v>
      </c>
      <c r="V22" s="51">
        <v>12246</v>
      </c>
      <c r="W22" s="2">
        <v>602000371</v>
      </c>
      <c r="X22" s="50">
        <v>46080</v>
      </c>
      <c r="Y22" s="51">
        <v>417.35789999999997</v>
      </c>
      <c r="Z22" s="51">
        <f t="shared" si="6"/>
        <v>29.341723254789237</v>
      </c>
      <c r="AA22" s="66">
        <v>17148.669999999998</v>
      </c>
      <c r="AB22" s="2">
        <v>605000344</v>
      </c>
      <c r="AC22" s="5">
        <v>46171</v>
      </c>
      <c r="AD22" s="51">
        <v>547.04100000000005</v>
      </c>
      <c r="AE22" s="51">
        <f t="shared" si="7"/>
        <v>31.348052522571429</v>
      </c>
      <c r="AF22" s="53"/>
      <c r="AG22" s="53"/>
      <c r="AH22" s="51"/>
      <c r="AI22" s="51"/>
      <c r="AJ22" s="51"/>
      <c r="AK22" s="2"/>
      <c r="AL22" s="53"/>
      <c r="AM22" s="53"/>
      <c r="AN22" s="51"/>
      <c r="AO22" s="51"/>
      <c r="AP22" s="53"/>
      <c r="AQ22" s="53"/>
      <c r="AR22" s="53"/>
      <c r="AS22" s="51"/>
      <c r="AT22" s="51"/>
      <c r="AU22" s="53"/>
      <c r="AV22" s="53"/>
      <c r="AW22" s="53"/>
      <c r="AX22" s="51"/>
      <c r="AY22" s="51">
        <f>AU22/A22</f>
        <v>0</v>
      </c>
      <c r="AZ22" s="55"/>
      <c r="BA22" s="55"/>
      <c r="BB22" s="55"/>
      <c r="BC22" s="51"/>
      <c r="BD22" s="51"/>
    </row>
    <row r="23" spans="1:67" ht="13.95" customHeight="1" x14ac:dyDescent="0.3">
      <c r="A23" s="42">
        <v>22</v>
      </c>
      <c r="B23" s="2">
        <v>12845</v>
      </c>
      <c r="C23" s="53" t="s">
        <v>29</v>
      </c>
      <c r="D23" s="45">
        <v>111138.75</v>
      </c>
      <c r="E23" s="51"/>
      <c r="F23" s="51"/>
      <c r="G23" s="50">
        <v>46000</v>
      </c>
      <c r="H23" s="70">
        <v>0</v>
      </c>
      <c r="I23" s="2">
        <v>28096310</v>
      </c>
      <c r="J23" s="49">
        <f t="shared" si="3"/>
        <v>138067.55000000002</v>
      </c>
      <c r="K23" s="49">
        <f t="shared" si="0"/>
        <v>-26928.800000000017</v>
      </c>
      <c r="L23" s="51">
        <v>28906.04</v>
      </c>
      <c r="M23" s="2">
        <v>380771</v>
      </c>
      <c r="N23" s="50">
        <v>45994</v>
      </c>
      <c r="O23" s="51">
        <v>248.57589999999999</v>
      </c>
      <c r="P23" s="51">
        <f t="shared" si="4"/>
        <v>116.28657484494676</v>
      </c>
      <c r="Q23" s="51">
        <v>9291.24</v>
      </c>
      <c r="R23" s="24">
        <v>512000459</v>
      </c>
      <c r="S23" s="50">
        <v>46021</v>
      </c>
      <c r="T23" s="51">
        <v>298.1431</v>
      </c>
      <c r="U23" s="51">
        <f t="shared" si="5"/>
        <v>31.163692870973701</v>
      </c>
      <c r="V23" s="2">
        <v>17183.04</v>
      </c>
      <c r="W23" s="2">
        <v>601000297</v>
      </c>
      <c r="X23" s="50">
        <v>46052</v>
      </c>
      <c r="Y23" s="51">
        <v>367.30689999999998</v>
      </c>
      <c r="Z23" s="51">
        <f t="shared" si="6"/>
        <v>46.78115221902992</v>
      </c>
      <c r="AA23" s="72">
        <v>17708</v>
      </c>
      <c r="AB23" s="76">
        <v>602000371</v>
      </c>
      <c r="AC23" s="104">
        <v>46080</v>
      </c>
      <c r="AD23" s="51">
        <v>417.35</v>
      </c>
      <c r="AE23" s="51">
        <f t="shared" si="7"/>
        <v>42.429615430693659</v>
      </c>
      <c r="AF23" s="72">
        <v>8915.1299999999992</v>
      </c>
      <c r="AG23" s="76">
        <v>603000477</v>
      </c>
      <c r="AH23" s="105">
        <v>46112</v>
      </c>
      <c r="AI23" s="51">
        <v>473.87</v>
      </c>
      <c r="AJ23" s="51">
        <f>AF23/AI23</f>
        <v>18.813450946462108</v>
      </c>
      <c r="AK23" s="72">
        <v>2187.84</v>
      </c>
      <c r="AL23" s="76">
        <v>604000300</v>
      </c>
      <c r="AM23" s="104">
        <v>46147</v>
      </c>
      <c r="AN23" s="51">
        <v>490.04</v>
      </c>
      <c r="AO23" s="51">
        <f>AK23/AN23</f>
        <v>4.4646151334584934</v>
      </c>
      <c r="AP23" s="75">
        <v>24498.100000000002</v>
      </c>
      <c r="AQ23" s="76">
        <v>605000344</v>
      </c>
      <c r="AR23" s="107">
        <v>46171</v>
      </c>
      <c r="AS23" s="51">
        <v>549.37</v>
      </c>
      <c r="AT23" s="51">
        <f>AP23/AS23</f>
        <v>44.593079345432045</v>
      </c>
      <c r="AU23" s="72">
        <v>29378.16</v>
      </c>
      <c r="AV23" s="109">
        <v>606000327</v>
      </c>
      <c r="AW23" s="110">
        <v>46203</v>
      </c>
      <c r="AX23" s="51">
        <v>623.02</v>
      </c>
      <c r="AY23" s="51">
        <f>AU23/AX23</f>
        <v>47.154441269943185</v>
      </c>
      <c r="AZ23" s="55"/>
      <c r="BA23" s="55"/>
      <c r="BB23" s="55"/>
      <c r="BC23" s="51"/>
      <c r="BD23" s="51"/>
    </row>
    <row r="24" spans="1:67" s="59" customFormat="1" ht="14.4" customHeight="1" x14ac:dyDescent="0.3">
      <c r="A24" s="42">
        <v>23</v>
      </c>
      <c r="B24" s="2">
        <v>12923</v>
      </c>
      <c r="C24" s="53" t="s">
        <v>114</v>
      </c>
      <c r="D24" s="43">
        <v>159301.06</v>
      </c>
      <c r="E24" s="51"/>
      <c r="F24" s="51"/>
      <c r="G24" s="50">
        <v>46007</v>
      </c>
      <c r="H24" s="70">
        <v>0</v>
      </c>
      <c r="I24" s="2">
        <v>14032082</v>
      </c>
      <c r="J24" s="49">
        <f t="shared" si="3"/>
        <v>183063.69</v>
      </c>
      <c r="K24" s="49">
        <f t="shared" si="0"/>
        <v>-23762.630000000005</v>
      </c>
      <c r="L24" s="51">
        <v>47975.86</v>
      </c>
      <c r="M24" s="25">
        <v>124015</v>
      </c>
      <c r="N24" s="18">
        <v>46002</v>
      </c>
      <c r="O24" s="16">
        <v>264.40350000000001</v>
      </c>
      <c r="P24" s="51">
        <f t="shared" si="4"/>
        <v>181.44941349112247</v>
      </c>
      <c r="Q24" s="51">
        <v>37025</v>
      </c>
      <c r="R24" s="2">
        <v>574356</v>
      </c>
      <c r="S24" s="50">
        <v>46055</v>
      </c>
      <c r="T24" s="16">
        <v>373.53410000000002</v>
      </c>
      <c r="U24" s="51">
        <f t="shared" si="5"/>
        <v>99.120803160942998</v>
      </c>
      <c r="V24" s="26">
        <v>34018.97</v>
      </c>
      <c r="W24" s="24">
        <v>464138</v>
      </c>
      <c r="X24" s="50">
        <v>46083</v>
      </c>
      <c r="Y24" s="16">
        <v>422.10039999999998</v>
      </c>
      <c r="Z24" s="51">
        <f t="shared" si="6"/>
        <v>80.594498370529863</v>
      </c>
      <c r="AA24" s="26">
        <v>7979.76</v>
      </c>
      <c r="AB24" s="24">
        <v>487008</v>
      </c>
      <c r="AC24" s="50">
        <v>46083</v>
      </c>
      <c r="AD24" s="16">
        <v>422.10039999999998</v>
      </c>
      <c r="AE24" s="51">
        <f t="shared" si="7"/>
        <v>18.904886136094635</v>
      </c>
      <c r="AF24" s="51">
        <v>2187.84</v>
      </c>
      <c r="AG24" s="2">
        <v>604000300</v>
      </c>
      <c r="AH24" s="50">
        <v>46147</v>
      </c>
      <c r="AI24" s="16">
        <v>490.04419999999999</v>
      </c>
      <c r="AJ24" s="51">
        <f t="shared" si="8"/>
        <v>4.4645768687804086</v>
      </c>
      <c r="AK24" s="66">
        <v>24498.1</v>
      </c>
      <c r="AL24" s="2">
        <v>605000344</v>
      </c>
      <c r="AM24" s="5">
        <v>46171</v>
      </c>
      <c r="AN24" s="16">
        <v>547.04100000000005</v>
      </c>
      <c r="AO24" s="51">
        <f t="shared" si="10"/>
        <v>44.78293217510204</v>
      </c>
      <c r="AP24" s="51">
        <v>29378.16</v>
      </c>
      <c r="AQ24" s="34">
        <v>606000327</v>
      </c>
      <c r="AR24" s="3">
        <v>46203</v>
      </c>
      <c r="AS24">
        <v>623.02229999999997</v>
      </c>
      <c r="AT24" s="51">
        <f t="shared" si="11"/>
        <v>47.154267190757061</v>
      </c>
      <c r="AU24" s="22"/>
      <c r="AW24" s="22"/>
      <c r="AX24" s="16"/>
      <c r="AY24" s="51">
        <v>3</v>
      </c>
      <c r="AZ24" s="1"/>
      <c r="BA24" s="1"/>
      <c r="BB24" s="1"/>
      <c r="BC24" s="16"/>
      <c r="BD24" s="51"/>
    </row>
    <row r="25" spans="1:67" s="59" customFormat="1" ht="13.95" customHeight="1" x14ac:dyDescent="0.3">
      <c r="A25" s="42">
        <v>24</v>
      </c>
      <c r="B25" s="2">
        <v>13207</v>
      </c>
      <c r="C25" s="53" t="s">
        <v>115</v>
      </c>
      <c r="D25" s="45">
        <v>97336.79</v>
      </c>
      <c r="E25" s="51"/>
      <c r="F25" s="51"/>
      <c r="G25" s="50">
        <v>46020</v>
      </c>
      <c r="H25" s="70">
        <v>0</v>
      </c>
      <c r="I25" s="2">
        <v>164132192</v>
      </c>
      <c r="J25" s="49">
        <f t="shared" si="3"/>
        <v>81339.649999999994</v>
      </c>
      <c r="K25" s="49">
        <f t="shared" si="0"/>
        <v>15997.14</v>
      </c>
      <c r="L25" s="51">
        <v>28843.65</v>
      </c>
      <c r="M25" s="2">
        <v>195949</v>
      </c>
      <c r="N25" s="50">
        <v>46017</v>
      </c>
      <c r="O25" s="51">
        <v>291.77280000000002</v>
      </c>
      <c r="P25" s="51">
        <f t="shared" si="4"/>
        <v>98.856541802388705</v>
      </c>
      <c r="Q25" s="51">
        <v>23594</v>
      </c>
      <c r="R25" s="2">
        <v>94537</v>
      </c>
      <c r="S25" s="50">
        <v>46066</v>
      </c>
      <c r="T25" s="51">
        <v>396.36739999999998</v>
      </c>
      <c r="U25" s="51">
        <f t="shared" si="5"/>
        <v>59.525581569019053</v>
      </c>
      <c r="V25" s="51">
        <v>28902</v>
      </c>
      <c r="W25" s="44">
        <v>800923</v>
      </c>
      <c r="X25" s="50">
        <v>46133</v>
      </c>
      <c r="Y25" s="51">
        <v>481.88069999999999</v>
      </c>
      <c r="Z25" s="51">
        <f t="shared" si="6"/>
        <v>59.977500655245166</v>
      </c>
      <c r="AA25" s="22"/>
      <c r="AB25" s="22"/>
      <c r="AC25" s="22"/>
      <c r="AD25" s="51"/>
      <c r="AE25" s="51"/>
      <c r="AF25" s="22"/>
      <c r="AG25" s="22"/>
      <c r="AH25" s="22"/>
      <c r="AI25" s="51"/>
      <c r="AJ25" s="51"/>
      <c r="AK25" s="22"/>
      <c r="AL25" s="22"/>
      <c r="AM25" s="22"/>
      <c r="AN25" s="51"/>
      <c r="AO25" s="51"/>
      <c r="AP25" s="22"/>
      <c r="AQ25" s="22"/>
      <c r="AR25" s="51"/>
      <c r="AT25" s="51"/>
      <c r="AU25" s="22"/>
      <c r="AV25" s="22"/>
      <c r="AW25" s="22"/>
      <c r="AX25" s="51"/>
      <c r="AY25" s="51">
        <f t="shared" ref="AY25:AY32" si="13">AU25/A25</f>
        <v>0</v>
      </c>
      <c r="AZ25" s="1"/>
      <c r="BA25" s="1"/>
      <c r="BB25" s="1"/>
      <c r="BC25" s="51"/>
      <c r="BD25" s="51"/>
    </row>
    <row r="26" spans="1:67" s="87" customFormat="1" ht="14.4" x14ac:dyDescent="0.3">
      <c r="A26" s="77">
        <v>25</v>
      </c>
      <c r="B26" s="2">
        <v>13102</v>
      </c>
      <c r="C26" s="78" t="s">
        <v>116</v>
      </c>
      <c r="D26" s="74">
        <v>77914.2</v>
      </c>
      <c r="E26" s="51">
        <f t="shared" si="9"/>
        <v>271.4827784456175</v>
      </c>
      <c r="F26" s="51">
        <f t="shared" si="2"/>
        <v>67.870694611404375</v>
      </c>
      <c r="G26" s="79">
        <v>46014</v>
      </c>
      <c r="H26" s="70">
        <v>286.995</v>
      </c>
      <c r="I26" s="71">
        <v>26205776</v>
      </c>
      <c r="J26" s="49">
        <f t="shared" si="3"/>
        <v>70280.429999999993</v>
      </c>
      <c r="K26" s="73">
        <f t="shared" si="0"/>
        <v>7633.7700000000041</v>
      </c>
      <c r="L26" s="73">
        <v>22883.31</v>
      </c>
      <c r="M26" s="71">
        <v>150816</v>
      </c>
      <c r="N26" s="79">
        <v>46010</v>
      </c>
      <c r="O26" s="73">
        <v>282.51280000000003</v>
      </c>
      <c r="P26" s="73">
        <f t="shared" si="4"/>
        <v>80.999197204516037</v>
      </c>
      <c r="Q26" s="73">
        <v>11516</v>
      </c>
      <c r="R26" s="71">
        <v>601000297</v>
      </c>
      <c r="S26" s="79">
        <v>46052</v>
      </c>
      <c r="T26" s="73">
        <v>367.30689999999998</v>
      </c>
      <c r="U26" s="73">
        <f t="shared" si="5"/>
        <v>31.352528362521912</v>
      </c>
      <c r="V26" s="73"/>
      <c r="W26" s="80"/>
      <c r="X26" s="79"/>
      <c r="Y26" s="73">
        <v>481.21769999999998</v>
      </c>
      <c r="Z26" s="73">
        <f t="shared" si="6"/>
        <v>0</v>
      </c>
      <c r="AA26" s="81"/>
      <c r="AB26" s="71"/>
      <c r="AC26" s="82"/>
      <c r="AD26" s="73"/>
      <c r="AE26" s="73"/>
      <c r="AF26" s="73"/>
      <c r="AG26" s="71"/>
      <c r="AH26" s="83"/>
      <c r="AI26" s="73"/>
      <c r="AJ26" s="73"/>
      <c r="AK26" s="73">
        <v>17723.68</v>
      </c>
      <c r="AL26" s="71">
        <v>604000300</v>
      </c>
      <c r="AM26" s="79">
        <v>46147</v>
      </c>
      <c r="AN26" s="73">
        <v>490.04419999999999</v>
      </c>
      <c r="AO26" s="73">
        <f t="shared" si="10"/>
        <v>36.167513052904212</v>
      </c>
      <c r="AP26" s="81">
        <v>18157.439999999999</v>
      </c>
      <c r="AQ26" s="71">
        <v>605000344</v>
      </c>
      <c r="AR26" s="82">
        <v>46171</v>
      </c>
      <c r="AS26" s="84">
        <v>547.04100000000005</v>
      </c>
      <c r="AT26" s="73">
        <f t="shared" si="11"/>
        <v>33.192100774896211</v>
      </c>
      <c r="AU26" s="71"/>
      <c r="AV26" s="85"/>
      <c r="AW26" s="85"/>
      <c r="AX26" s="73"/>
      <c r="AY26" s="73">
        <f t="shared" si="13"/>
        <v>0</v>
      </c>
      <c r="AZ26" s="86"/>
      <c r="BA26" s="86"/>
      <c r="BB26" s="86"/>
      <c r="BC26" s="73"/>
      <c r="BD26" s="73"/>
    </row>
    <row r="27" spans="1:67" s="59" customFormat="1" ht="14.4" x14ac:dyDescent="0.3">
      <c r="A27" s="42">
        <v>26</v>
      </c>
      <c r="B27" s="2">
        <v>13101</v>
      </c>
      <c r="C27" s="53" t="s">
        <v>30</v>
      </c>
      <c r="D27" s="45">
        <v>220614.19</v>
      </c>
      <c r="E27" s="51">
        <f t="shared" si="9"/>
        <v>768.70394954615938</v>
      </c>
      <c r="F27" s="51">
        <f t="shared" si="2"/>
        <v>192.17598738653984</v>
      </c>
      <c r="G27" s="50">
        <v>46014</v>
      </c>
      <c r="H27" s="70">
        <v>286.995</v>
      </c>
      <c r="I27" s="2">
        <v>6331950</v>
      </c>
      <c r="J27" s="49">
        <f t="shared" si="3"/>
        <v>108306.70000000001</v>
      </c>
      <c r="K27" s="49">
        <f t="shared" si="0"/>
        <v>112307.48999999999</v>
      </c>
      <c r="L27" s="51">
        <v>28844.94</v>
      </c>
      <c r="M27" s="2">
        <v>0</v>
      </c>
      <c r="N27" s="50">
        <v>46013</v>
      </c>
      <c r="O27" s="51">
        <v>285.4024</v>
      </c>
      <c r="P27" s="51">
        <f t="shared" si="4"/>
        <v>101.06761540898044</v>
      </c>
      <c r="Q27" s="51">
        <v>13001.94</v>
      </c>
      <c r="R27" s="2">
        <v>601000297</v>
      </c>
      <c r="S27" s="50">
        <v>46052</v>
      </c>
      <c r="T27" s="51">
        <v>367.30689999999998</v>
      </c>
      <c r="U27" s="51">
        <f t="shared" si="5"/>
        <v>35.398028188416831</v>
      </c>
      <c r="V27" s="51">
        <v>14706</v>
      </c>
      <c r="W27" s="2">
        <v>602000371</v>
      </c>
      <c r="X27" s="50">
        <v>46080</v>
      </c>
      <c r="Y27" s="51">
        <v>417.35789999999997</v>
      </c>
      <c r="Z27" s="51">
        <f t="shared" si="6"/>
        <v>35.23594497672142</v>
      </c>
      <c r="AA27" s="72">
        <v>15872.700000000003</v>
      </c>
      <c r="AB27" s="2">
        <v>603000477</v>
      </c>
      <c r="AC27" s="102">
        <v>46112</v>
      </c>
      <c r="AD27" s="51">
        <v>473.87</v>
      </c>
      <c r="AE27" s="51">
        <f>AA27/AD27</f>
        <v>33.495895498765492</v>
      </c>
      <c r="AF27" s="72">
        <v>17723.68</v>
      </c>
      <c r="AG27" s="2">
        <v>604000300</v>
      </c>
      <c r="AH27" s="103">
        <v>46147</v>
      </c>
      <c r="AI27" s="51">
        <v>490.04</v>
      </c>
      <c r="AJ27" s="51">
        <f>AF27/AI27</f>
        <v>36.167823034854294</v>
      </c>
      <c r="AK27" s="75">
        <v>18157.439999999999</v>
      </c>
      <c r="AL27" s="2">
        <v>605000344</v>
      </c>
      <c r="AM27" s="106">
        <v>46171</v>
      </c>
      <c r="AN27" s="51">
        <v>549.37</v>
      </c>
      <c r="AO27" s="51">
        <f>AK27/AN27</f>
        <v>33.051386133207124</v>
      </c>
      <c r="AP27" s="22"/>
      <c r="AQ27" s="22"/>
      <c r="AR27" s="22"/>
      <c r="AS27" s="51"/>
      <c r="AT27" s="51"/>
      <c r="AU27" s="22"/>
      <c r="AV27" s="22"/>
      <c r="AW27" s="22"/>
      <c r="AX27" s="51"/>
      <c r="AY27" s="51">
        <f t="shared" si="13"/>
        <v>0</v>
      </c>
      <c r="AZ27" s="1"/>
      <c r="BA27" s="1"/>
      <c r="BB27" s="1"/>
      <c r="BC27" s="51"/>
      <c r="BD27" s="51"/>
    </row>
    <row r="28" spans="1:67" s="59" customFormat="1" ht="14.4" x14ac:dyDescent="0.3">
      <c r="A28" s="42">
        <v>27</v>
      </c>
      <c r="B28" s="2">
        <v>13100</v>
      </c>
      <c r="C28" s="53" t="s">
        <v>117</v>
      </c>
      <c r="D28" s="45">
        <v>94182</v>
      </c>
      <c r="E28" s="51">
        <f t="shared" si="9"/>
        <v>328.1659959232739</v>
      </c>
      <c r="F28" s="51">
        <f t="shared" si="2"/>
        <v>82.041498980818474</v>
      </c>
      <c r="G28" s="50">
        <v>46014</v>
      </c>
      <c r="H28" s="70">
        <v>286.995</v>
      </c>
      <c r="I28" s="2">
        <v>12688632</v>
      </c>
      <c r="J28" s="49">
        <f t="shared" si="3"/>
        <v>46395.58</v>
      </c>
      <c r="K28" s="49">
        <f t="shared" si="0"/>
        <v>47786.42</v>
      </c>
      <c r="L28" s="51">
        <v>27968.49</v>
      </c>
      <c r="M28" s="2">
        <v>150067</v>
      </c>
      <c r="N28" s="50">
        <v>46010</v>
      </c>
      <c r="O28" s="51">
        <v>282.51280000000003</v>
      </c>
      <c r="P28" s="51">
        <f t="shared" si="4"/>
        <v>98.999018805519611</v>
      </c>
      <c r="Q28" s="2">
        <v>5250.2999999999984</v>
      </c>
      <c r="R28" s="2">
        <v>601000297</v>
      </c>
      <c r="S28" s="50">
        <v>46052</v>
      </c>
      <c r="T28" s="51">
        <v>367.30689999999998</v>
      </c>
      <c r="U28" s="51">
        <f t="shared" si="5"/>
        <v>14.294041304424171</v>
      </c>
      <c r="V28" s="72">
        <v>3985</v>
      </c>
      <c r="W28" s="2">
        <v>602000371</v>
      </c>
      <c r="X28" s="103">
        <v>46080</v>
      </c>
      <c r="Y28" s="51">
        <v>417.36</v>
      </c>
      <c r="Z28" s="51">
        <f t="shared" si="6"/>
        <v>9.5481119417289619</v>
      </c>
      <c r="AA28" s="72">
        <v>5448.1500000000005</v>
      </c>
      <c r="AB28" s="2">
        <v>603000477</v>
      </c>
      <c r="AC28" s="102">
        <v>46112</v>
      </c>
      <c r="AD28" s="51">
        <v>474.87</v>
      </c>
      <c r="AE28" s="51">
        <f>AA28/AD28</f>
        <v>11.472929433318594</v>
      </c>
      <c r="AF28" s="76">
        <v>3743.64</v>
      </c>
      <c r="AG28" s="2">
        <v>604000300</v>
      </c>
      <c r="AH28" s="103">
        <v>46147</v>
      </c>
      <c r="AI28" s="51">
        <v>490.04</v>
      </c>
      <c r="AJ28" s="51">
        <f>AF28/AI28</f>
        <v>7.6394580034282908</v>
      </c>
      <c r="AK28" s="22"/>
      <c r="AL28" s="22"/>
      <c r="AM28" s="22"/>
      <c r="AN28" s="51"/>
      <c r="AO28" s="51"/>
      <c r="AP28" s="22"/>
      <c r="AQ28" s="22"/>
      <c r="AR28" s="22"/>
      <c r="AS28" s="51"/>
      <c r="AT28" s="51"/>
      <c r="AU28" s="22"/>
      <c r="AV28" s="22"/>
      <c r="AW28" s="22"/>
      <c r="AX28" s="51"/>
      <c r="AY28" s="51">
        <f t="shared" si="13"/>
        <v>0</v>
      </c>
      <c r="AZ28" s="1"/>
      <c r="BA28" s="1"/>
      <c r="BB28" s="1"/>
      <c r="BC28" s="51"/>
      <c r="BD28" s="51"/>
    </row>
    <row r="29" spans="1:67" s="59" customFormat="1" ht="16.2" customHeight="1" x14ac:dyDescent="0.3">
      <c r="A29" s="42">
        <v>28</v>
      </c>
      <c r="B29" s="2">
        <v>13173</v>
      </c>
      <c r="C29" s="53" t="s">
        <v>31</v>
      </c>
      <c r="D29" s="51">
        <v>128359.97</v>
      </c>
      <c r="E29" s="51">
        <f t="shared" si="9"/>
        <v>439.93124102041037</v>
      </c>
      <c r="F29" s="51">
        <f t="shared" si="2"/>
        <v>109.98281025510259</v>
      </c>
      <c r="G29" s="50">
        <v>46017</v>
      </c>
      <c r="H29" s="70">
        <v>291.77280000000002</v>
      </c>
      <c r="I29" s="2">
        <v>18607275</v>
      </c>
      <c r="J29" s="49">
        <f t="shared" si="3"/>
        <v>114225.96</v>
      </c>
      <c r="K29" s="49">
        <f t="shared" si="0"/>
        <v>14134.009999999995</v>
      </c>
      <c r="L29" s="51">
        <v>114225.96</v>
      </c>
      <c r="M29" s="43">
        <v>0</v>
      </c>
      <c r="N29" s="3">
        <v>46014</v>
      </c>
      <c r="O29" s="45">
        <v>286.995</v>
      </c>
      <c r="P29" s="51">
        <f t="shared" si="4"/>
        <v>398.00679454345897</v>
      </c>
      <c r="Q29" s="45"/>
      <c r="R29" s="51"/>
      <c r="S29" s="2"/>
      <c r="T29" s="45"/>
      <c r="U29" s="51"/>
      <c r="V29" s="50"/>
      <c r="W29" s="51"/>
      <c r="X29" s="2"/>
      <c r="Y29" s="45"/>
      <c r="Z29" s="51"/>
      <c r="AA29" s="3"/>
      <c r="AB29" s="2"/>
      <c r="AC29" s="2"/>
      <c r="AD29" s="45"/>
      <c r="AE29" s="51"/>
      <c r="AF29" s="50"/>
      <c r="AG29" s="22"/>
      <c r="AH29" s="22"/>
      <c r="AI29" s="45"/>
      <c r="AJ29" s="51"/>
      <c r="AK29" s="22"/>
      <c r="AL29" s="22"/>
      <c r="AM29" s="22"/>
      <c r="AN29" s="45"/>
      <c r="AO29" s="51"/>
      <c r="AP29" s="22"/>
      <c r="AQ29" s="22"/>
      <c r="AR29" s="22"/>
      <c r="AS29" s="45"/>
      <c r="AT29" s="51"/>
      <c r="AU29" s="22"/>
      <c r="AV29" s="22"/>
      <c r="AW29" s="22"/>
      <c r="AX29" s="45"/>
      <c r="AY29" s="51">
        <f t="shared" si="13"/>
        <v>0</v>
      </c>
      <c r="AZ29" s="1"/>
      <c r="BA29" s="1"/>
      <c r="BB29" s="1"/>
      <c r="BC29" s="45"/>
      <c r="BD29" s="51"/>
    </row>
    <row r="30" spans="1:67" s="59" customFormat="1" ht="16.2" customHeight="1" x14ac:dyDescent="0.3">
      <c r="A30" s="42">
        <v>29</v>
      </c>
      <c r="B30" s="2">
        <v>13414</v>
      </c>
      <c r="C30" s="53" t="s">
        <v>32</v>
      </c>
      <c r="D30" s="2">
        <v>139645.44</v>
      </c>
      <c r="E30" s="51">
        <f t="shared" si="9"/>
        <v>380.1873583099038</v>
      </c>
      <c r="F30" s="51">
        <f t="shared" si="2"/>
        <v>95.04683957747595</v>
      </c>
      <c r="G30" s="50">
        <v>46052</v>
      </c>
      <c r="H30" s="70">
        <v>367.30689999999998</v>
      </c>
      <c r="I30" s="2">
        <v>27195733</v>
      </c>
      <c r="J30" s="49">
        <f t="shared" si="3"/>
        <v>128009.13</v>
      </c>
      <c r="K30" s="49">
        <f t="shared" si="0"/>
        <v>11636.309999999998</v>
      </c>
      <c r="L30" s="51">
        <v>128009.13</v>
      </c>
      <c r="M30" s="2">
        <v>0</v>
      </c>
      <c r="N30" s="50">
        <v>46051</v>
      </c>
      <c r="O30" s="51">
        <v>365.07979999999998</v>
      </c>
      <c r="P30" s="51">
        <f t="shared" si="4"/>
        <v>350.63328620208517</v>
      </c>
      <c r="Q30" s="22"/>
      <c r="R30" s="51"/>
      <c r="S30" s="51"/>
      <c r="T30" s="51"/>
      <c r="U30" s="51"/>
      <c r="V30" s="22"/>
      <c r="W30" s="22"/>
      <c r="X30" s="51"/>
      <c r="Y30" s="51"/>
      <c r="Z30" s="51"/>
      <c r="AA30" s="22"/>
      <c r="AB30" s="22"/>
      <c r="AC30" s="22"/>
      <c r="AD30" s="51"/>
      <c r="AE30" s="51"/>
      <c r="AF30" s="22"/>
      <c r="AG30" s="22"/>
      <c r="AH30" s="22"/>
      <c r="AI30" s="51"/>
      <c r="AJ30" s="51"/>
      <c r="AK30" s="22"/>
      <c r="AL30" s="22"/>
      <c r="AM30" s="22"/>
      <c r="AN30" s="51"/>
      <c r="AO30" s="51"/>
      <c r="AP30" s="22"/>
      <c r="AQ30" s="22"/>
      <c r="AR30" s="22"/>
      <c r="AS30" s="51"/>
      <c r="AT30" s="51"/>
      <c r="AU30" s="22"/>
      <c r="AV30" s="22"/>
      <c r="AW30" s="22"/>
      <c r="AX30" s="51"/>
      <c r="AY30" s="51">
        <f t="shared" si="13"/>
        <v>0</v>
      </c>
      <c r="AZ30" s="1"/>
      <c r="BA30" s="1"/>
      <c r="BB30" s="1"/>
      <c r="BC30" s="51"/>
      <c r="BD30" s="51"/>
    </row>
    <row r="31" spans="1:67" s="59" customFormat="1" ht="14.4" x14ac:dyDescent="0.3">
      <c r="A31" s="42">
        <v>30</v>
      </c>
      <c r="B31" s="2">
        <v>13457</v>
      </c>
      <c r="C31" s="53" t="s">
        <v>33</v>
      </c>
      <c r="D31" s="45">
        <v>72436.41</v>
      </c>
      <c r="E31" s="51">
        <f t="shared" si="9"/>
        <v>193.12256052042233</v>
      </c>
      <c r="F31" s="51">
        <f t="shared" si="2"/>
        <v>48.280640130105581</v>
      </c>
      <c r="G31" s="50">
        <v>46057</v>
      </c>
      <c r="H31" s="70">
        <v>375.08</v>
      </c>
      <c r="I31" s="2">
        <v>15900786</v>
      </c>
      <c r="J31" s="49">
        <f t="shared" si="3"/>
        <v>22123.18</v>
      </c>
      <c r="K31" s="49">
        <f t="shared" si="0"/>
        <v>50313.23</v>
      </c>
      <c r="L31" s="51">
        <v>22123.18</v>
      </c>
      <c r="M31" s="2">
        <v>34295</v>
      </c>
      <c r="N31" s="50">
        <v>46051</v>
      </c>
      <c r="O31" s="51">
        <v>365.07979999999998</v>
      </c>
      <c r="P31" s="51">
        <f t="shared" si="4"/>
        <v>60.598203461270664</v>
      </c>
      <c r="Q31" s="22"/>
      <c r="R31" s="51"/>
      <c r="S31" s="51"/>
      <c r="T31" s="51"/>
      <c r="U31" s="51"/>
      <c r="V31" s="22"/>
      <c r="W31" s="22"/>
      <c r="X31" s="51"/>
      <c r="Y31" s="51"/>
      <c r="Z31" s="51"/>
      <c r="AA31" s="22"/>
      <c r="AB31" s="22"/>
      <c r="AC31" s="22"/>
      <c r="AD31" s="51"/>
      <c r="AE31" s="51"/>
      <c r="AF31" s="22"/>
      <c r="AG31" s="22"/>
      <c r="AH31" s="22"/>
      <c r="AI31" s="51"/>
      <c r="AJ31" s="51"/>
      <c r="AK31" s="22"/>
      <c r="AL31" s="22"/>
      <c r="AM31" s="22"/>
      <c r="AN31" s="51"/>
      <c r="AO31" s="51"/>
      <c r="AP31" s="22"/>
      <c r="AQ31" s="22"/>
      <c r="AR31" s="22"/>
      <c r="AS31" s="51"/>
      <c r="AT31" s="51"/>
      <c r="AU31" s="22"/>
      <c r="AV31" s="22"/>
      <c r="AW31" s="22"/>
      <c r="AX31" s="51"/>
      <c r="AY31" s="51">
        <f t="shared" si="13"/>
        <v>0</v>
      </c>
      <c r="AZ31" s="1"/>
      <c r="BA31" s="1"/>
      <c r="BB31" s="1"/>
      <c r="BC31" s="51"/>
      <c r="BD31" s="51"/>
    </row>
    <row r="32" spans="1:67" s="59" customFormat="1" ht="14.4" x14ac:dyDescent="0.3">
      <c r="A32" s="42">
        <v>31</v>
      </c>
      <c r="B32" s="2">
        <v>13464</v>
      </c>
      <c r="C32" s="53" t="s">
        <v>17</v>
      </c>
      <c r="D32" s="45">
        <v>207861.2</v>
      </c>
      <c r="E32" s="51"/>
      <c r="F32" s="51"/>
      <c r="G32" s="50">
        <v>46058</v>
      </c>
      <c r="H32" s="70">
        <v>0</v>
      </c>
      <c r="I32" s="2">
        <v>16795332</v>
      </c>
      <c r="J32" s="49">
        <f t="shared" si="3"/>
        <v>37500</v>
      </c>
      <c r="K32" s="49">
        <f t="shared" si="0"/>
        <v>170361.2</v>
      </c>
      <c r="L32" s="51">
        <v>37500</v>
      </c>
      <c r="M32" s="2">
        <v>859314</v>
      </c>
      <c r="N32" s="50">
        <v>46035</v>
      </c>
      <c r="O32" s="51">
        <v>333.3374</v>
      </c>
      <c r="P32" s="51">
        <f t="shared" si="4"/>
        <v>112.49862751674429</v>
      </c>
      <c r="Q32" s="22"/>
      <c r="R32" s="51"/>
      <c r="S32" s="51"/>
      <c r="T32" s="51"/>
      <c r="U32" s="51"/>
      <c r="V32" s="22"/>
      <c r="W32" s="22"/>
      <c r="X32" s="51"/>
      <c r="Y32" s="51"/>
      <c r="Z32" s="51"/>
      <c r="AA32" s="22"/>
      <c r="AB32" s="22"/>
      <c r="AC32" s="22"/>
      <c r="AD32" s="51"/>
      <c r="AE32" s="51"/>
      <c r="AF32" s="22"/>
      <c r="AG32" s="22"/>
      <c r="AH32" s="22"/>
      <c r="AI32" s="51"/>
      <c r="AJ32" s="51"/>
      <c r="AK32" s="22"/>
      <c r="AL32" s="22"/>
      <c r="AM32" s="22"/>
      <c r="AN32" s="51"/>
      <c r="AO32" s="51"/>
      <c r="AP32" s="22"/>
      <c r="AQ32" s="22"/>
      <c r="AR32" s="22"/>
      <c r="AS32" s="51"/>
      <c r="AT32" s="51"/>
      <c r="AU32" s="22"/>
      <c r="AV32" s="22"/>
      <c r="AW32" s="22"/>
      <c r="AX32" s="51"/>
      <c r="AY32" s="51">
        <f t="shared" si="13"/>
        <v>0</v>
      </c>
      <c r="AZ32" s="1"/>
      <c r="BA32" s="1"/>
      <c r="BB32" s="1"/>
      <c r="BC32" s="51"/>
      <c r="BD32" s="51"/>
    </row>
    <row r="33" spans="1:56" s="59" customFormat="1" ht="14.4" customHeight="1" x14ac:dyDescent="0.3">
      <c r="A33" s="42">
        <v>32</v>
      </c>
      <c r="B33" s="2">
        <v>13005</v>
      </c>
      <c r="C33" s="53" t="s">
        <v>17</v>
      </c>
      <c r="D33" s="45">
        <v>158198.04</v>
      </c>
      <c r="E33" s="51"/>
      <c r="F33" s="51"/>
      <c r="G33" s="50">
        <v>46009</v>
      </c>
      <c r="H33" s="70">
        <v>0</v>
      </c>
      <c r="I33" s="2">
        <v>16795332</v>
      </c>
      <c r="J33" s="49">
        <f t="shared" si="3"/>
        <v>150000</v>
      </c>
      <c r="K33" s="49">
        <f t="shared" si="0"/>
        <v>8198.0400000000081</v>
      </c>
      <c r="L33" s="51">
        <v>10000</v>
      </c>
      <c r="M33" s="2">
        <v>204277</v>
      </c>
      <c r="N33" s="50">
        <v>46055</v>
      </c>
      <c r="O33" s="51">
        <v>373.53410000000002</v>
      </c>
      <c r="P33" s="51">
        <f t="shared" si="4"/>
        <v>26.771317531652397</v>
      </c>
      <c r="Q33" s="26">
        <v>20000</v>
      </c>
      <c r="R33" s="24">
        <v>465469</v>
      </c>
      <c r="S33" s="50">
        <v>46094</v>
      </c>
      <c r="T33" s="51">
        <v>443.25869999999998</v>
      </c>
      <c r="U33" s="51">
        <f t="shared" si="5"/>
        <v>45.120377783899109</v>
      </c>
      <c r="V33" s="26">
        <v>20000</v>
      </c>
      <c r="W33" s="24">
        <v>625994</v>
      </c>
      <c r="X33" s="50">
        <v>46080</v>
      </c>
      <c r="Y33" s="51">
        <v>417.35789999999997</v>
      </c>
      <c r="Z33" s="51">
        <f t="shared" si="6"/>
        <v>47.920501804326697</v>
      </c>
      <c r="AA33" s="51">
        <v>20000</v>
      </c>
      <c r="AB33" s="2">
        <v>511363</v>
      </c>
      <c r="AC33" s="50">
        <v>46112</v>
      </c>
      <c r="AD33" s="51">
        <v>472.05459999999999</v>
      </c>
      <c r="AE33" s="51">
        <f t="shared" si="7"/>
        <v>42.367980314141626</v>
      </c>
      <c r="AF33" s="51">
        <v>20000</v>
      </c>
      <c r="AG33" s="111">
        <v>690336</v>
      </c>
      <c r="AH33" s="50">
        <v>46129</v>
      </c>
      <c r="AI33" s="51">
        <v>480.25720000000001</v>
      </c>
      <c r="AJ33" s="51">
        <f t="shared" si="8"/>
        <v>41.644352234594294</v>
      </c>
      <c r="AK33" s="51">
        <v>20000</v>
      </c>
      <c r="AL33" s="111">
        <v>603936</v>
      </c>
      <c r="AM33" s="50">
        <v>46142</v>
      </c>
      <c r="AN33" s="51">
        <v>489.55</v>
      </c>
      <c r="AO33" s="51">
        <f t="shared" si="10"/>
        <v>40.85384536819528</v>
      </c>
      <c r="AP33" s="51">
        <v>20000</v>
      </c>
      <c r="AQ33" s="2">
        <v>827004</v>
      </c>
      <c r="AR33" s="50">
        <v>46171</v>
      </c>
      <c r="AS33" s="51">
        <v>547.04100000000005</v>
      </c>
      <c r="AT33" s="51">
        <f t="shared" si="11"/>
        <v>36.560330944115705</v>
      </c>
      <c r="AU33" s="51">
        <v>20000</v>
      </c>
      <c r="AV33" s="24">
        <v>512537</v>
      </c>
      <c r="AW33" s="112">
        <v>46182</v>
      </c>
      <c r="AX33" s="51">
        <v>567.68280000000004</v>
      </c>
      <c r="AY33" s="51">
        <f>AU33/AX33</f>
        <v>35.23094235019979</v>
      </c>
      <c r="AZ33" s="1"/>
      <c r="BA33" s="1"/>
      <c r="BB33" s="1"/>
      <c r="BC33" s="51"/>
      <c r="BD33" s="51"/>
    </row>
    <row r="34" spans="1:56" s="59" customFormat="1" ht="14.4" customHeight="1" x14ac:dyDescent="0.3">
      <c r="A34" s="42">
        <v>33</v>
      </c>
      <c r="B34" s="2">
        <v>13626</v>
      </c>
      <c r="C34" s="53" t="s">
        <v>34</v>
      </c>
      <c r="D34" s="51">
        <v>176798.58</v>
      </c>
      <c r="E34" s="51">
        <f t="shared" si="9"/>
        <v>423.61383359461985</v>
      </c>
      <c r="F34" s="51">
        <f t="shared" si="2"/>
        <v>105.90345839865496</v>
      </c>
      <c r="G34" s="50">
        <v>46080</v>
      </c>
      <c r="H34" s="70">
        <v>417.35789999999997</v>
      </c>
      <c r="I34" s="2">
        <v>17578855</v>
      </c>
      <c r="J34" s="49">
        <f t="shared" si="3"/>
        <v>176820.34000000003</v>
      </c>
      <c r="K34" s="49">
        <f t="shared" ref="K34:K65" si="14">D34-J34</f>
        <v>-21.760000000038417</v>
      </c>
      <c r="L34" s="26">
        <v>149850.14000000001</v>
      </c>
      <c r="M34" s="2">
        <v>0</v>
      </c>
      <c r="N34" s="50">
        <v>46077</v>
      </c>
      <c r="O34" s="51">
        <v>407.37860000000001</v>
      </c>
      <c r="P34" s="51">
        <f t="shared" si="4"/>
        <v>367.83998963126686</v>
      </c>
      <c r="Q34" s="113">
        <v>9370.2000000000007</v>
      </c>
      <c r="R34" s="24">
        <v>454043</v>
      </c>
      <c r="S34" s="103">
        <v>46111</v>
      </c>
      <c r="T34" s="51">
        <v>421.87</v>
      </c>
      <c r="U34" s="51">
        <f t="shared" si="5"/>
        <v>22.211107687202219</v>
      </c>
      <c r="V34" s="72">
        <v>10800</v>
      </c>
      <c r="W34" s="114">
        <v>938615</v>
      </c>
      <c r="X34" s="103">
        <v>46169</v>
      </c>
      <c r="Y34" s="51">
        <v>540.04</v>
      </c>
      <c r="Z34" s="51">
        <f t="shared" si="6"/>
        <v>19.998518628249762</v>
      </c>
      <c r="AA34" s="51">
        <v>6800</v>
      </c>
      <c r="AB34" s="108">
        <v>245054</v>
      </c>
      <c r="AC34" s="3">
        <v>46203</v>
      </c>
      <c r="AD34" s="51"/>
      <c r="AE34" s="51"/>
      <c r="AF34" s="22"/>
      <c r="AG34" s="22"/>
      <c r="AH34" s="22"/>
      <c r="AI34" s="51"/>
      <c r="AJ34" s="51"/>
      <c r="AK34" s="22"/>
      <c r="AL34" s="22"/>
      <c r="AM34" s="22"/>
      <c r="AN34" s="51"/>
      <c r="AO34" s="51"/>
      <c r="AP34" s="22"/>
      <c r="AQ34" s="22"/>
      <c r="AR34" s="22"/>
      <c r="AS34" s="51"/>
      <c r="AT34" s="51"/>
      <c r="AU34" s="22"/>
      <c r="AV34" s="22"/>
      <c r="AW34" s="22"/>
      <c r="AX34" s="51"/>
      <c r="AY34" s="51">
        <f t="shared" ref="AY34:AY65" si="15">AU34/A34</f>
        <v>0</v>
      </c>
      <c r="AZ34" s="1"/>
      <c r="BA34" s="1"/>
      <c r="BB34" s="1"/>
      <c r="BC34" s="51"/>
      <c r="BD34" s="51"/>
    </row>
    <row r="35" spans="1:56" s="59" customFormat="1" ht="14.4" x14ac:dyDescent="0.3">
      <c r="A35" s="42">
        <v>34</v>
      </c>
      <c r="B35" s="2">
        <v>13625</v>
      </c>
      <c r="C35" s="53" t="s">
        <v>118</v>
      </c>
      <c r="D35" s="2">
        <v>148282.68</v>
      </c>
      <c r="E35" s="51">
        <f t="shared" si="9"/>
        <v>355.2890217245199</v>
      </c>
      <c r="F35" s="51">
        <f t="shared" si="2"/>
        <v>88.822255431129975</v>
      </c>
      <c r="G35" s="50">
        <v>46080</v>
      </c>
      <c r="H35" s="70">
        <v>417.35789999999997</v>
      </c>
      <c r="I35" s="2">
        <v>16177593</v>
      </c>
      <c r="J35" s="49">
        <f t="shared" si="3"/>
        <v>125472.61</v>
      </c>
      <c r="K35" s="49">
        <f t="shared" si="14"/>
        <v>22810.069999999992</v>
      </c>
      <c r="L35" s="37">
        <v>125472.61</v>
      </c>
      <c r="M35" s="2">
        <v>0</v>
      </c>
      <c r="N35" s="50">
        <v>46077</v>
      </c>
      <c r="O35" s="51">
        <v>407.37860000000001</v>
      </c>
      <c r="P35" s="51">
        <f t="shared" si="4"/>
        <v>308.0000029456628</v>
      </c>
      <c r="Q35" s="22"/>
      <c r="R35" s="51"/>
      <c r="S35" s="51"/>
      <c r="T35" s="51"/>
      <c r="U35" s="51"/>
      <c r="V35" s="22"/>
      <c r="W35" s="22"/>
      <c r="X35" s="51"/>
      <c r="Y35" s="51"/>
      <c r="Z35" s="51"/>
      <c r="AA35" s="22"/>
      <c r="AB35" s="108">
        <v>245054</v>
      </c>
      <c r="AC35" s="22"/>
      <c r="AD35" s="51"/>
      <c r="AE35" s="51"/>
      <c r="AF35" s="22"/>
      <c r="AG35" s="22"/>
      <c r="AH35" s="22"/>
      <c r="AI35" s="51"/>
      <c r="AJ35" s="51"/>
      <c r="AK35" s="22"/>
      <c r="AL35" s="22"/>
      <c r="AM35" s="22"/>
      <c r="AN35" s="51"/>
      <c r="AO35" s="51"/>
      <c r="AP35" s="22"/>
      <c r="AQ35" s="22"/>
      <c r="AR35" s="22"/>
      <c r="AS35" s="51"/>
      <c r="AT35" s="51"/>
      <c r="AU35" s="22"/>
      <c r="AV35" s="22"/>
      <c r="AW35" s="22"/>
      <c r="AX35" s="51"/>
      <c r="AY35" s="51">
        <f t="shared" si="15"/>
        <v>0</v>
      </c>
      <c r="AZ35" s="1"/>
      <c r="BA35" s="1"/>
      <c r="BB35" s="1"/>
      <c r="BC35" s="51"/>
      <c r="BD35" s="51"/>
    </row>
    <row r="36" spans="1:56" ht="14.4" x14ac:dyDescent="0.3">
      <c r="A36" s="42">
        <v>35</v>
      </c>
      <c r="B36" s="2">
        <v>13845</v>
      </c>
      <c r="C36" s="53" t="s">
        <v>119</v>
      </c>
      <c r="D36" s="16">
        <v>742057.5</v>
      </c>
      <c r="E36" s="51"/>
      <c r="F36" s="51"/>
      <c r="G36" s="50">
        <v>46101</v>
      </c>
      <c r="H36" s="70">
        <v>0</v>
      </c>
      <c r="I36" s="2">
        <v>15228037</v>
      </c>
      <c r="J36" s="49">
        <f t="shared" si="3"/>
        <v>244887</v>
      </c>
      <c r="K36" s="49">
        <f t="shared" si="14"/>
        <v>497170.5</v>
      </c>
      <c r="L36" s="31">
        <v>46851</v>
      </c>
      <c r="M36" s="24">
        <v>19079</v>
      </c>
      <c r="N36" s="50">
        <v>46108</v>
      </c>
      <c r="O36" s="51">
        <v>468.51</v>
      </c>
      <c r="P36" s="51">
        <f t="shared" si="4"/>
        <v>100</v>
      </c>
      <c r="Q36" s="31">
        <v>95000</v>
      </c>
      <c r="R36" s="24">
        <v>150274</v>
      </c>
      <c r="S36" s="50">
        <v>46120</v>
      </c>
      <c r="T36" s="51">
        <v>475.00830000000002</v>
      </c>
      <c r="U36" s="51">
        <f t="shared" si="5"/>
        <v>199.99650532422274</v>
      </c>
      <c r="V36" s="14">
        <v>103036</v>
      </c>
      <c r="W36" s="38">
        <v>725645</v>
      </c>
      <c r="X36" s="12">
        <v>46157</v>
      </c>
      <c r="Y36" s="51">
        <v>515.17999999999995</v>
      </c>
      <c r="Z36" s="51">
        <f t="shared" si="6"/>
        <v>200.00000000000003</v>
      </c>
      <c r="AA36" s="53"/>
      <c r="AB36" s="53"/>
      <c r="AC36" s="53"/>
      <c r="AD36" s="51"/>
      <c r="AE36" s="51"/>
      <c r="AF36" s="53"/>
      <c r="AG36" s="53"/>
      <c r="AH36" s="53"/>
      <c r="AI36" s="51"/>
      <c r="AJ36" s="51"/>
      <c r="AK36" s="53"/>
      <c r="AL36" s="53"/>
      <c r="AM36" s="53"/>
      <c r="AN36" s="51"/>
      <c r="AO36" s="51"/>
      <c r="AP36" s="53"/>
      <c r="AQ36" s="53"/>
      <c r="AR36" s="53"/>
      <c r="AS36" s="51"/>
      <c r="AT36" s="51"/>
      <c r="AU36" s="53"/>
      <c r="AV36" s="53"/>
      <c r="AW36" s="53"/>
      <c r="AX36" s="51"/>
      <c r="AY36" s="51">
        <f t="shared" si="15"/>
        <v>0</v>
      </c>
      <c r="AZ36" s="55"/>
      <c r="BA36" s="55"/>
      <c r="BB36" s="55"/>
      <c r="BC36" s="51"/>
      <c r="BD36" s="51"/>
    </row>
    <row r="37" spans="1:56" ht="13.95" customHeight="1" x14ac:dyDescent="0.3">
      <c r="A37" s="42">
        <v>36</v>
      </c>
      <c r="B37" s="2">
        <v>13986</v>
      </c>
      <c r="C37" s="53" t="s">
        <v>35</v>
      </c>
      <c r="D37" s="51">
        <v>237285.97</v>
      </c>
      <c r="E37" s="51">
        <f t="shared" si="9"/>
        <v>562.46229881243039</v>
      </c>
      <c r="F37" s="51">
        <f t="shared" si="2"/>
        <v>140.6155747031076</v>
      </c>
      <c r="G37" s="50">
        <v>46111</v>
      </c>
      <c r="H37" s="70">
        <v>421.87</v>
      </c>
      <c r="I37" s="2">
        <v>18242929</v>
      </c>
      <c r="J37" s="49">
        <f t="shared" si="3"/>
        <v>202996.97000000003</v>
      </c>
      <c r="K37" s="49">
        <f t="shared" si="14"/>
        <v>34288.999999999971</v>
      </c>
      <c r="L37" s="51">
        <v>71179.520000000004</v>
      </c>
      <c r="M37" s="2">
        <v>767262</v>
      </c>
      <c r="N37" s="50">
        <v>46111</v>
      </c>
      <c r="O37" s="51">
        <v>471.7004</v>
      </c>
      <c r="P37" s="51">
        <f t="shared" si="4"/>
        <v>150.89985083752316</v>
      </c>
      <c r="Q37" s="51">
        <v>41509.5</v>
      </c>
      <c r="R37" s="2">
        <v>603000477</v>
      </c>
      <c r="S37" s="3">
        <v>46112</v>
      </c>
      <c r="T37" s="51">
        <v>472.05459999999999</v>
      </c>
      <c r="U37" s="51">
        <f t="shared" si="5"/>
        <v>87.93368394249309</v>
      </c>
      <c r="V37" s="51">
        <v>42784.500000000022</v>
      </c>
      <c r="W37" s="2">
        <v>604000300</v>
      </c>
      <c r="X37" s="50">
        <v>46147</v>
      </c>
      <c r="Y37" s="51">
        <v>490.04419999999999</v>
      </c>
      <c r="Z37" s="51">
        <f t="shared" si="6"/>
        <v>87.307430635848817</v>
      </c>
      <c r="AA37" s="51">
        <v>47523.450000000012</v>
      </c>
      <c r="AB37" s="34">
        <v>606000327</v>
      </c>
      <c r="AC37" s="3">
        <v>46203</v>
      </c>
      <c r="AD37" s="51">
        <v>623.02229999999997</v>
      </c>
      <c r="AE37" s="51">
        <f t="shared" si="7"/>
        <v>76.278890819798931</v>
      </c>
      <c r="AF37" s="55"/>
      <c r="AG37" s="53"/>
      <c r="AH37" s="53"/>
      <c r="AI37" s="51"/>
      <c r="AJ37" s="51"/>
      <c r="AK37" s="53"/>
      <c r="AL37" s="53"/>
      <c r="AM37" s="53"/>
      <c r="AN37" s="51"/>
      <c r="AO37" s="51"/>
      <c r="AP37" s="53"/>
      <c r="AQ37" s="53"/>
      <c r="AR37" s="53"/>
      <c r="AS37" s="51"/>
      <c r="AT37" s="51"/>
      <c r="AU37" s="53"/>
      <c r="AV37" s="53"/>
      <c r="AW37" s="53"/>
      <c r="AX37" s="51"/>
      <c r="AY37" s="51">
        <f t="shared" si="15"/>
        <v>0</v>
      </c>
      <c r="AZ37" s="55"/>
      <c r="BA37" s="55"/>
      <c r="BB37" s="55"/>
      <c r="BC37" s="51"/>
      <c r="BD37" s="51"/>
    </row>
    <row r="38" spans="1:56" ht="14.4" x14ac:dyDescent="0.3">
      <c r="A38" s="42">
        <v>37</v>
      </c>
      <c r="B38" s="2">
        <v>13976</v>
      </c>
      <c r="C38" s="53" t="s">
        <v>120</v>
      </c>
      <c r="D38" s="51">
        <v>101415.51</v>
      </c>
      <c r="E38" s="51">
        <f t="shared" si="9"/>
        <v>240.39516912793039</v>
      </c>
      <c r="F38" s="51">
        <f t="shared" si="2"/>
        <v>60.098792281982597</v>
      </c>
      <c r="G38" s="50">
        <v>46111</v>
      </c>
      <c r="H38" s="70">
        <v>421.87</v>
      </c>
      <c r="I38" s="2">
        <v>20329646</v>
      </c>
      <c r="J38" s="49">
        <f t="shared" si="3"/>
        <v>72106.19</v>
      </c>
      <c r="K38" s="49">
        <f t="shared" si="14"/>
        <v>29309.319999999992</v>
      </c>
      <c r="L38" s="51">
        <v>30329</v>
      </c>
      <c r="M38" s="2">
        <v>26255</v>
      </c>
      <c r="N38" s="50">
        <v>46107</v>
      </c>
      <c r="O38" s="51">
        <v>466.6164</v>
      </c>
      <c r="P38" s="51">
        <f t="shared" si="4"/>
        <v>64.997715468209009</v>
      </c>
      <c r="Q38" s="14">
        <v>10304</v>
      </c>
      <c r="R38" s="38">
        <v>719089</v>
      </c>
      <c r="S38" s="12">
        <v>46161</v>
      </c>
      <c r="T38" s="51">
        <v>517.96190000000001</v>
      </c>
      <c r="U38" s="51">
        <f t="shared" si="5"/>
        <v>19.893355090403368</v>
      </c>
      <c r="V38" s="2">
        <v>9483.65</v>
      </c>
      <c r="W38" s="2">
        <v>632307</v>
      </c>
      <c r="X38" s="50">
        <v>46167</v>
      </c>
      <c r="Y38" s="51">
        <v>530.50469999999996</v>
      </c>
      <c r="Z38" s="51">
        <f t="shared" si="6"/>
        <v>17.876655946686242</v>
      </c>
      <c r="AA38" s="51">
        <v>10139.209999999999</v>
      </c>
      <c r="AB38" s="24">
        <v>345790</v>
      </c>
      <c r="AC38" s="5">
        <v>46182</v>
      </c>
      <c r="AD38" s="51">
        <v>567.68280000000004</v>
      </c>
      <c r="AE38" s="51">
        <f t="shared" si="7"/>
        <v>17.860696149328462</v>
      </c>
      <c r="AF38" s="45">
        <v>11850.33</v>
      </c>
      <c r="AG38" s="52">
        <v>84906</v>
      </c>
      <c r="AH38" s="46">
        <v>46189</v>
      </c>
      <c r="AI38" s="51">
        <v>592.5163</v>
      </c>
      <c r="AJ38" s="51">
        <f t="shared" si="8"/>
        <v>20.000006750869133</v>
      </c>
      <c r="AK38" s="55"/>
      <c r="AL38" s="53"/>
      <c r="AM38" s="53"/>
      <c r="AN38" s="51"/>
      <c r="AO38" s="51"/>
      <c r="AP38" s="53"/>
      <c r="AQ38" s="53"/>
      <c r="AR38" s="53"/>
      <c r="AS38" s="51"/>
      <c r="AT38" s="51"/>
      <c r="AU38" s="53"/>
      <c r="AV38" s="53"/>
      <c r="AW38" s="53"/>
      <c r="AX38" s="51"/>
      <c r="AY38" s="51">
        <f t="shared" si="15"/>
        <v>0</v>
      </c>
      <c r="AZ38" s="55"/>
      <c r="BA38" s="55"/>
      <c r="BB38" s="55"/>
      <c r="BC38" s="51"/>
      <c r="BD38" s="51"/>
    </row>
    <row r="39" spans="1:56" ht="14.4" x14ac:dyDescent="0.3">
      <c r="A39" s="42">
        <v>38</v>
      </c>
      <c r="B39" s="2">
        <v>13974</v>
      </c>
      <c r="C39" s="53" t="s">
        <v>36</v>
      </c>
      <c r="D39" s="51">
        <v>126415.61</v>
      </c>
      <c r="E39" s="51">
        <f t="shared" si="9"/>
        <v>299.65536776732171</v>
      </c>
      <c r="F39" s="51">
        <f t="shared" si="2"/>
        <v>74.913841941830427</v>
      </c>
      <c r="G39" s="50">
        <v>46111</v>
      </c>
      <c r="H39" s="70">
        <v>421.87</v>
      </c>
      <c r="I39" s="2">
        <v>12953882</v>
      </c>
      <c r="J39" s="49">
        <f t="shared" si="3"/>
        <v>112361.58</v>
      </c>
      <c r="K39" s="49">
        <f t="shared" si="14"/>
        <v>14054.029999999999</v>
      </c>
      <c r="L39" s="51">
        <v>37480.800000000003</v>
      </c>
      <c r="M39" s="2">
        <v>862626</v>
      </c>
      <c r="N39" s="50">
        <v>46108</v>
      </c>
      <c r="O39" s="51">
        <v>468.51</v>
      </c>
      <c r="P39" s="51">
        <f t="shared" si="4"/>
        <v>80.000000000000014</v>
      </c>
      <c r="Q39" s="51">
        <v>22549.54</v>
      </c>
      <c r="R39" s="44">
        <v>438848</v>
      </c>
      <c r="S39" s="50">
        <v>46128</v>
      </c>
      <c r="T39" s="51">
        <v>479.77749999999997</v>
      </c>
      <c r="U39" s="51">
        <f t="shared" si="5"/>
        <v>46.999994789251275</v>
      </c>
      <c r="V39" s="2">
        <v>24482.97</v>
      </c>
      <c r="W39" s="2">
        <v>268342</v>
      </c>
      <c r="X39" s="50">
        <v>46162</v>
      </c>
      <c r="Y39" s="51">
        <v>520.91420000000005</v>
      </c>
      <c r="Z39" s="51">
        <f t="shared" si="6"/>
        <v>47.00000499122504</v>
      </c>
      <c r="AA39" s="45">
        <v>27848.27</v>
      </c>
      <c r="AB39" s="52">
        <v>318995</v>
      </c>
      <c r="AC39" s="46">
        <v>46190</v>
      </c>
      <c r="AD39" s="51">
        <v>596.78240000000005</v>
      </c>
      <c r="AE39" s="51">
        <f t="shared" si="7"/>
        <v>46.664026955218517</v>
      </c>
      <c r="AF39" s="45"/>
      <c r="AG39" s="46"/>
      <c r="AH39" s="52"/>
      <c r="AI39" s="51"/>
      <c r="AJ39" s="51"/>
      <c r="AK39" s="53"/>
      <c r="AL39" s="53"/>
      <c r="AM39" s="53"/>
      <c r="AN39" s="51"/>
      <c r="AO39" s="51"/>
      <c r="AP39" s="53"/>
      <c r="AQ39" s="53"/>
      <c r="AR39" s="53"/>
      <c r="AS39" s="51"/>
      <c r="AT39" s="51"/>
      <c r="AU39" s="53"/>
      <c r="AV39" s="53"/>
      <c r="AW39" s="53"/>
      <c r="AX39" s="51"/>
      <c r="AY39" s="51">
        <f t="shared" si="15"/>
        <v>0</v>
      </c>
      <c r="AZ39" s="55"/>
      <c r="BA39" s="55"/>
      <c r="BB39" s="55"/>
      <c r="BC39" s="51"/>
      <c r="BD39" s="51"/>
    </row>
    <row r="40" spans="1:56" ht="14.4" x14ac:dyDescent="0.3">
      <c r="A40" s="42">
        <v>39</v>
      </c>
      <c r="B40" s="2">
        <v>13973</v>
      </c>
      <c r="C40" s="53" t="s">
        <v>37</v>
      </c>
      <c r="D40" s="51">
        <v>75471.990000000005</v>
      </c>
      <c r="E40" s="51">
        <f t="shared" si="9"/>
        <v>178.89868916964943</v>
      </c>
      <c r="F40" s="51">
        <f t="shared" si="2"/>
        <v>44.724672292412357</v>
      </c>
      <c r="G40" s="50">
        <v>46111</v>
      </c>
      <c r="H40" s="70">
        <v>421.87</v>
      </c>
      <c r="I40" s="2">
        <v>27449390</v>
      </c>
      <c r="J40" s="49">
        <f t="shared" si="3"/>
        <v>25634.22</v>
      </c>
      <c r="K40" s="49">
        <f t="shared" si="14"/>
        <v>49837.770000000004</v>
      </c>
      <c r="L40" s="51">
        <v>22608</v>
      </c>
      <c r="M40" s="2">
        <v>218004</v>
      </c>
      <c r="N40" s="50">
        <v>46111</v>
      </c>
      <c r="O40" s="51">
        <v>471.7004</v>
      </c>
      <c r="P40" s="51">
        <f t="shared" si="4"/>
        <v>47.928727641528397</v>
      </c>
      <c r="Q40" s="66">
        <v>3026.22</v>
      </c>
      <c r="R40" s="2">
        <v>605000344</v>
      </c>
      <c r="S40" s="5">
        <v>46171</v>
      </c>
      <c r="T40" s="51">
        <v>547.04100000000005</v>
      </c>
      <c r="U40" s="51">
        <f t="shared" si="5"/>
        <v>5.5319802354850909</v>
      </c>
      <c r="V40" s="22"/>
      <c r="W40" s="53"/>
      <c r="X40" s="2"/>
      <c r="Y40" s="51"/>
      <c r="Z40" s="51"/>
      <c r="AA40" s="53"/>
      <c r="AB40" s="53"/>
      <c r="AC40" s="53"/>
      <c r="AD40" s="51"/>
      <c r="AE40" s="51"/>
      <c r="AF40" s="53"/>
      <c r="AG40" s="53"/>
      <c r="AH40" s="53"/>
      <c r="AI40" s="51"/>
      <c r="AJ40" s="51"/>
      <c r="AK40" s="53"/>
      <c r="AL40" s="53"/>
      <c r="AM40" s="53"/>
      <c r="AN40" s="51"/>
      <c r="AO40" s="51"/>
      <c r="AP40" s="53"/>
      <c r="AQ40" s="53"/>
      <c r="AR40" s="53"/>
      <c r="AS40" s="51"/>
      <c r="AT40" s="51"/>
      <c r="AU40" s="53"/>
      <c r="AV40" s="53"/>
      <c r="AW40" s="53"/>
      <c r="AX40" s="51"/>
      <c r="AY40" s="51">
        <f t="shared" si="15"/>
        <v>0</v>
      </c>
      <c r="AZ40" s="55"/>
      <c r="BA40" s="55"/>
      <c r="BB40" s="55"/>
      <c r="BC40" s="51"/>
      <c r="BD40" s="51"/>
    </row>
    <row r="41" spans="1:56" ht="14.4" x14ac:dyDescent="0.3">
      <c r="A41" s="42">
        <v>40</v>
      </c>
      <c r="B41" s="2">
        <v>13887</v>
      </c>
      <c r="C41" s="53" t="s">
        <v>38</v>
      </c>
      <c r="D41" s="51">
        <v>209584.98</v>
      </c>
      <c r="E41" s="51"/>
      <c r="F41" s="51"/>
      <c r="G41" s="50">
        <v>46106</v>
      </c>
      <c r="H41" s="70">
        <v>0</v>
      </c>
      <c r="I41" s="2">
        <v>18030264</v>
      </c>
      <c r="J41" s="49">
        <f t="shared" si="3"/>
        <v>67000</v>
      </c>
      <c r="K41" s="49">
        <f t="shared" si="14"/>
        <v>142584.98000000001</v>
      </c>
      <c r="L41" s="113">
        <v>32000</v>
      </c>
      <c r="M41" s="24">
        <v>247244</v>
      </c>
      <c r="N41" s="103">
        <v>46093</v>
      </c>
      <c r="O41" s="51">
        <v>440.96</v>
      </c>
      <c r="P41" s="51">
        <f t="shared" si="4"/>
        <v>72.568940493468801</v>
      </c>
      <c r="Q41" s="113">
        <v>35000</v>
      </c>
      <c r="R41" s="24">
        <v>408284</v>
      </c>
      <c r="S41" s="103">
        <v>46120</v>
      </c>
      <c r="T41" s="51">
        <v>475</v>
      </c>
      <c r="U41" s="51">
        <f t="shared" si="5"/>
        <v>73.684210526315795</v>
      </c>
      <c r="V41" s="31"/>
      <c r="W41" s="24"/>
      <c r="X41" s="50"/>
      <c r="Y41" s="51">
        <v>475.00830000000002</v>
      </c>
      <c r="Z41" s="51">
        <f t="shared" si="6"/>
        <v>0</v>
      </c>
      <c r="AA41" s="31"/>
      <c r="AB41" s="24"/>
      <c r="AC41" s="50"/>
      <c r="AD41" s="51">
        <v>475.00830000000002</v>
      </c>
      <c r="AE41" s="51">
        <f t="shared" si="7"/>
        <v>0</v>
      </c>
      <c r="AF41" s="53"/>
      <c r="AG41" s="53"/>
      <c r="AH41" s="53"/>
      <c r="AI41" s="51"/>
      <c r="AJ41" s="51"/>
      <c r="AK41" s="53"/>
      <c r="AL41" s="53"/>
      <c r="AM41" s="53"/>
      <c r="AN41" s="51"/>
      <c r="AO41" s="51"/>
      <c r="AP41" s="53"/>
      <c r="AQ41" s="53"/>
      <c r="AR41" s="53"/>
      <c r="AS41" s="51"/>
      <c r="AT41" s="51"/>
      <c r="AU41" s="53"/>
      <c r="AV41" s="53"/>
      <c r="AW41" s="53"/>
      <c r="AX41" s="51"/>
      <c r="AY41" s="51">
        <f t="shared" si="15"/>
        <v>0</v>
      </c>
      <c r="AZ41" s="55"/>
      <c r="BA41" s="55"/>
      <c r="BB41" s="55"/>
      <c r="BC41" s="51"/>
      <c r="BD41" s="51"/>
    </row>
    <row r="42" spans="1:56" ht="14.4" x14ac:dyDescent="0.3">
      <c r="A42" s="42">
        <v>41</v>
      </c>
      <c r="B42" s="2">
        <v>13888</v>
      </c>
      <c r="C42" s="53" t="s">
        <v>39</v>
      </c>
      <c r="D42" s="51">
        <v>2106028.31</v>
      </c>
      <c r="E42" s="51"/>
      <c r="F42" s="51"/>
      <c r="G42" s="50">
        <v>46106</v>
      </c>
      <c r="H42" s="70">
        <v>0</v>
      </c>
      <c r="I42" s="2">
        <v>20867934</v>
      </c>
      <c r="J42" s="49">
        <f t="shared" si="3"/>
        <v>463241.9</v>
      </c>
      <c r="K42" s="49">
        <f t="shared" si="14"/>
        <v>1642786.4100000001</v>
      </c>
      <c r="L42" s="31">
        <v>463241.9</v>
      </c>
      <c r="M42" s="24">
        <v>90372439</v>
      </c>
      <c r="N42" s="50">
        <v>46092</v>
      </c>
      <c r="O42" s="51">
        <v>438.20499999999998</v>
      </c>
      <c r="P42" s="51">
        <f t="shared" si="4"/>
        <v>1057.135130817768</v>
      </c>
      <c r="Q42" s="51"/>
      <c r="R42" s="2"/>
      <c r="S42" s="2"/>
      <c r="T42" s="51"/>
      <c r="U42" s="51"/>
      <c r="V42" s="22"/>
      <c r="W42" s="53"/>
      <c r="X42" s="2"/>
      <c r="Y42" s="51"/>
      <c r="Z42" s="51"/>
      <c r="AA42" s="53"/>
      <c r="AB42" s="53"/>
      <c r="AC42" s="53"/>
      <c r="AD42" s="51"/>
      <c r="AE42" s="51"/>
      <c r="AF42" s="53"/>
      <c r="AG42" s="53"/>
      <c r="AH42" s="53"/>
      <c r="AI42" s="51"/>
      <c r="AJ42" s="51"/>
      <c r="AK42" s="53"/>
      <c r="AL42" s="53"/>
      <c r="AM42" s="53"/>
      <c r="AN42" s="51"/>
      <c r="AO42" s="51"/>
      <c r="AP42" s="53"/>
      <c r="AQ42" s="53"/>
      <c r="AR42" s="53"/>
      <c r="AS42" s="51"/>
      <c r="AT42" s="51"/>
      <c r="AU42" s="53"/>
      <c r="AV42" s="53"/>
      <c r="AW42" s="53"/>
      <c r="AX42" s="51"/>
      <c r="AY42" s="51">
        <f t="shared" si="15"/>
        <v>0</v>
      </c>
      <c r="AZ42" s="55"/>
      <c r="BA42" s="55"/>
      <c r="BB42" s="55"/>
      <c r="BC42" s="51"/>
      <c r="BD42" s="51"/>
    </row>
    <row r="43" spans="1:56" ht="14.4" x14ac:dyDescent="0.3">
      <c r="A43" s="42">
        <v>42</v>
      </c>
      <c r="B43" s="2">
        <v>13850</v>
      </c>
      <c r="C43" s="53" t="s">
        <v>40</v>
      </c>
      <c r="D43" s="25">
        <v>91202.99</v>
      </c>
      <c r="E43" s="51"/>
      <c r="F43" s="51"/>
      <c r="G43" s="50">
        <v>46101</v>
      </c>
      <c r="H43" s="70">
        <v>0</v>
      </c>
      <c r="I43" s="2">
        <v>20482925</v>
      </c>
      <c r="J43" s="49">
        <f t="shared" si="3"/>
        <v>62269.400000000009</v>
      </c>
      <c r="K43" s="49">
        <f t="shared" si="14"/>
        <v>28933.589999999997</v>
      </c>
      <c r="L43" s="31">
        <v>27360.9</v>
      </c>
      <c r="M43" s="24">
        <v>228752</v>
      </c>
      <c r="N43" s="50">
        <v>46099</v>
      </c>
      <c r="O43" s="51">
        <v>451.50720000000001</v>
      </c>
      <c r="P43" s="51">
        <f t="shared" si="4"/>
        <v>60.599033636672907</v>
      </c>
      <c r="Q43" s="51">
        <v>9605.2000000000007</v>
      </c>
      <c r="R43" s="44">
        <v>404954</v>
      </c>
      <c r="S43" s="50">
        <v>46129</v>
      </c>
      <c r="T43" s="51">
        <v>480.25720000000001</v>
      </c>
      <c r="U43" s="51">
        <f t="shared" si="5"/>
        <v>20.000116604186257</v>
      </c>
      <c r="V43" s="51">
        <v>7272</v>
      </c>
      <c r="W43" s="44">
        <v>772904</v>
      </c>
      <c r="X43" s="50">
        <v>46139</v>
      </c>
      <c r="Y43" s="51">
        <v>484.74040000000002</v>
      </c>
      <c r="Z43" s="51">
        <f t="shared" si="6"/>
        <v>15.001844286137487</v>
      </c>
      <c r="AA43" s="14">
        <v>18031.3</v>
      </c>
      <c r="AB43" s="38">
        <v>544126</v>
      </c>
      <c r="AC43" s="12">
        <v>46161</v>
      </c>
      <c r="AD43" s="51">
        <v>517.96190000000001</v>
      </c>
      <c r="AE43" s="51">
        <f t="shared" si="7"/>
        <v>34.812019957452463</v>
      </c>
      <c r="AF43" s="53"/>
      <c r="AG43" s="53"/>
      <c r="AH43" s="53"/>
      <c r="AI43" s="51"/>
      <c r="AJ43" s="51"/>
      <c r="AK43" s="53"/>
      <c r="AL43" s="53"/>
      <c r="AM43" s="53"/>
      <c r="AN43" s="51"/>
      <c r="AO43" s="51"/>
      <c r="AP43" s="53"/>
      <c r="AQ43" s="53"/>
      <c r="AR43" s="53"/>
      <c r="AS43" s="51"/>
      <c r="AT43" s="51"/>
      <c r="AU43" s="53"/>
      <c r="AV43" s="53"/>
      <c r="AW43" s="53"/>
      <c r="AX43" s="51"/>
      <c r="AY43" s="51">
        <f t="shared" si="15"/>
        <v>0</v>
      </c>
      <c r="AZ43" s="55"/>
      <c r="BA43" s="55"/>
      <c r="BB43" s="55"/>
      <c r="BC43" s="51"/>
      <c r="BD43" s="51"/>
    </row>
    <row r="44" spans="1:56" ht="14.4" x14ac:dyDescent="0.3">
      <c r="A44" s="42">
        <v>43</v>
      </c>
      <c r="B44" s="2">
        <v>13849</v>
      </c>
      <c r="C44" s="53" t="s">
        <v>41</v>
      </c>
      <c r="D44" s="45">
        <v>108054.75</v>
      </c>
      <c r="E44" s="51"/>
      <c r="F44" s="51"/>
      <c r="G44" s="50">
        <v>46101</v>
      </c>
      <c r="H44" s="70">
        <v>0</v>
      </c>
      <c r="I44" s="2">
        <v>26532807</v>
      </c>
      <c r="J44" s="49">
        <f t="shared" si="3"/>
        <v>29722.29</v>
      </c>
      <c r="K44" s="49">
        <f t="shared" si="14"/>
        <v>78332.459999999992</v>
      </c>
      <c r="L44" s="31">
        <v>29722.29</v>
      </c>
      <c r="M44" s="24">
        <v>291614</v>
      </c>
      <c r="N44" s="50">
        <v>46098</v>
      </c>
      <c r="O44" s="51">
        <v>449.15600000000001</v>
      </c>
      <c r="P44" s="51">
        <f t="shared" si="4"/>
        <v>66.173645682123805</v>
      </c>
      <c r="Q44" s="51"/>
      <c r="R44" s="2"/>
      <c r="S44" s="2"/>
      <c r="T44" s="51"/>
      <c r="U44" s="51"/>
      <c r="V44" s="22"/>
      <c r="W44" s="53"/>
      <c r="X44" s="2"/>
      <c r="Y44" s="51"/>
      <c r="Z44" s="51"/>
      <c r="AA44" s="53"/>
      <c r="AB44" s="53"/>
      <c r="AC44" s="53"/>
      <c r="AD44" s="51"/>
      <c r="AE44" s="51"/>
      <c r="AF44" s="53"/>
      <c r="AG44" s="53"/>
      <c r="AH44" s="53"/>
      <c r="AI44" s="51"/>
      <c r="AJ44" s="51"/>
      <c r="AK44" s="53"/>
      <c r="AL44" s="53"/>
      <c r="AM44" s="53"/>
      <c r="AN44" s="51"/>
      <c r="AO44" s="51"/>
      <c r="AP44" s="53"/>
      <c r="AQ44" s="53"/>
      <c r="AR44" s="53"/>
      <c r="AS44" s="51"/>
      <c r="AT44" s="51"/>
      <c r="AU44" s="53"/>
      <c r="AV44" s="53"/>
      <c r="AW44" s="53"/>
      <c r="AX44" s="51"/>
      <c r="AY44" s="51">
        <f t="shared" si="15"/>
        <v>0</v>
      </c>
      <c r="AZ44" s="55"/>
      <c r="BA44" s="55"/>
      <c r="BB44" s="55"/>
      <c r="BC44" s="51"/>
      <c r="BD44" s="51"/>
    </row>
    <row r="45" spans="1:56" ht="14.4" x14ac:dyDescent="0.3">
      <c r="A45" s="42">
        <v>44</v>
      </c>
      <c r="B45" s="2">
        <v>13847</v>
      </c>
      <c r="C45" s="53" t="s">
        <v>42</v>
      </c>
      <c r="D45" s="45">
        <v>173754</v>
      </c>
      <c r="E45" s="51"/>
      <c r="F45" s="51"/>
      <c r="G45" s="50">
        <v>46101</v>
      </c>
      <c r="H45" s="70">
        <v>0</v>
      </c>
      <c r="I45" s="2">
        <v>26484277</v>
      </c>
      <c r="J45" s="49">
        <f t="shared" si="3"/>
        <v>160976.92000000001</v>
      </c>
      <c r="K45" s="49">
        <f t="shared" si="14"/>
        <v>12777.079999999987</v>
      </c>
      <c r="L45" s="31">
        <v>52722.400000000001</v>
      </c>
      <c r="M45" s="2">
        <v>488303</v>
      </c>
      <c r="N45" s="50">
        <v>46097</v>
      </c>
      <c r="O45" s="51">
        <v>446.8048</v>
      </c>
      <c r="P45" s="51">
        <f t="shared" si="4"/>
        <v>117.99873233232947</v>
      </c>
      <c r="Q45" s="51">
        <v>32624.26</v>
      </c>
      <c r="R45" s="44">
        <v>610152</v>
      </c>
      <c r="S45" s="50">
        <v>46128</v>
      </c>
      <c r="T45" s="51">
        <v>479.77749999999997</v>
      </c>
      <c r="U45" s="51">
        <f t="shared" si="5"/>
        <v>67.998728577309279</v>
      </c>
      <c r="V45" s="2">
        <v>35480.26</v>
      </c>
      <c r="W45" s="2">
        <v>237989</v>
      </c>
      <c r="X45" s="50">
        <v>46161</v>
      </c>
      <c r="Y45" s="51">
        <v>517.96190000000001</v>
      </c>
      <c r="Z45" s="51">
        <f t="shared" si="6"/>
        <v>68.499748726692061</v>
      </c>
      <c r="AA45" s="45">
        <v>40150</v>
      </c>
      <c r="AB45" s="52">
        <v>894646</v>
      </c>
      <c r="AC45" s="46">
        <v>46196</v>
      </c>
      <c r="AD45" s="51">
        <v>617.63879999999995</v>
      </c>
      <c r="AE45" s="51">
        <f t="shared" si="7"/>
        <v>65.005631122915204</v>
      </c>
      <c r="AF45" s="53"/>
      <c r="AG45" s="53"/>
      <c r="AH45" s="53"/>
      <c r="AI45" s="51"/>
      <c r="AJ45" s="51"/>
      <c r="AK45" s="53"/>
      <c r="AL45" s="53"/>
      <c r="AM45" s="53"/>
      <c r="AN45" s="51"/>
      <c r="AO45" s="51"/>
      <c r="AP45" s="53"/>
      <c r="AQ45" s="53"/>
      <c r="AR45" s="53"/>
      <c r="AS45" s="51"/>
      <c r="AT45" s="51"/>
      <c r="AU45" s="53"/>
      <c r="AV45" s="53"/>
      <c r="AW45" s="53"/>
      <c r="AX45" s="51"/>
      <c r="AY45" s="51">
        <f t="shared" si="15"/>
        <v>0</v>
      </c>
      <c r="AZ45" s="55"/>
      <c r="BA45" s="55"/>
      <c r="BB45" s="55"/>
      <c r="BC45" s="51"/>
      <c r="BD45" s="51"/>
    </row>
    <row r="46" spans="1:56" ht="14.4" x14ac:dyDescent="0.3">
      <c r="A46" s="42">
        <v>45</v>
      </c>
      <c r="B46" s="2">
        <v>13843</v>
      </c>
      <c r="C46" s="53" t="s">
        <v>43</v>
      </c>
      <c r="D46" s="43">
        <v>34972.07</v>
      </c>
      <c r="E46" s="51"/>
      <c r="F46" s="51"/>
      <c r="G46" s="50">
        <v>46101</v>
      </c>
      <c r="H46" s="70">
        <v>0</v>
      </c>
      <c r="I46" s="2">
        <v>15604309</v>
      </c>
      <c r="J46" s="49">
        <f t="shared" si="3"/>
        <v>34316.28</v>
      </c>
      <c r="K46" s="49">
        <f t="shared" si="14"/>
        <v>655.79000000000087</v>
      </c>
      <c r="L46" s="31">
        <v>9863.92</v>
      </c>
      <c r="M46" s="24">
        <v>250436</v>
      </c>
      <c r="N46" s="50">
        <v>46098</v>
      </c>
      <c r="O46" s="51">
        <v>449.15600000000001</v>
      </c>
      <c r="P46" s="51">
        <f t="shared" si="4"/>
        <v>21.961011319007206</v>
      </c>
      <c r="Q46" s="51">
        <v>6603.8</v>
      </c>
      <c r="R46" s="2">
        <v>603000477</v>
      </c>
      <c r="S46" s="3">
        <v>46112</v>
      </c>
      <c r="T46" s="51">
        <v>472.05459999999999</v>
      </c>
      <c r="U46" s="51">
        <f t="shared" si="5"/>
        <v>13.989483419926424</v>
      </c>
      <c r="V46" s="2">
        <v>2722.5600000000009</v>
      </c>
      <c r="W46" s="2">
        <v>604000300</v>
      </c>
      <c r="X46" s="50">
        <v>46147</v>
      </c>
      <c r="Y46" s="51">
        <v>490.04419999999999</v>
      </c>
      <c r="Z46" s="51">
        <f t="shared" si="6"/>
        <v>5.5557437471966837</v>
      </c>
      <c r="AA46" s="66">
        <v>7565.5499999999993</v>
      </c>
      <c r="AB46" s="2">
        <v>605000344</v>
      </c>
      <c r="AC46" s="5">
        <v>46171</v>
      </c>
      <c r="AD46" s="51">
        <v>547.04100000000005</v>
      </c>
      <c r="AE46" s="51">
        <f t="shared" si="7"/>
        <v>13.829950588712727</v>
      </c>
      <c r="AF46" s="2">
        <v>7560.4499999999971</v>
      </c>
      <c r="AG46" s="34">
        <v>606000327</v>
      </c>
      <c r="AH46" s="3">
        <v>46203</v>
      </c>
      <c r="AI46" s="51">
        <v>623.02229999999997</v>
      </c>
      <c r="AJ46" s="51">
        <f t="shared" si="8"/>
        <v>12.135119401023042</v>
      </c>
      <c r="AK46" s="53"/>
      <c r="AL46" s="53"/>
      <c r="AM46" s="53"/>
      <c r="AN46" s="51"/>
      <c r="AO46" s="51"/>
      <c r="AP46" s="53"/>
      <c r="AQ46" s="53"/>
      <c r="AR46" s="53"/>
      <c r="AS46" s="51"/>
      <c r="AT46" s="51"/>
      <c r="AU46" s="53"/>
      <c r="AV46" s="53"/>
      <c r="AW46" s="53"/>
      <c r="AX46" s="51"/>
      <c r="AY46" s="51">
        <f t="shared" si="15"/>
        <v>0</v>
      </c>
      <c r="AZ46" s="55"/>
      <c r="BA46" s="55"/>
      <c r="BB46" s="55"/>
      <c r="BC46" s="51"/>
      <c r="BD46" s="51"/>
    </row>
    <row r="47" spans="1:56" ht="14.4" x14ac:dyDescent="0.3">
      <c r="A47" s="42">
        <v>46</v>
      </c>
      <c r="B47" s="2">
        <v>13842</v>
      </c>
      <c r="C47" s="53" t="s">
        <v>44</v>
      </c>
      <c r="D47" s="43">
        <v>54179.99</v>
      </c>
      <c r="E47" s="51"/>
      <c r="F47" s="51"/>
      <c r="G47" s="50">
        <v>46101</v>
      </c>
      <c r="H47" s="70">
        <v>0</v>
      </c>
      <c r="I47" s="2">
        <v>18677439</v>
      </c>
      <c r="J47" s="49">
        <f t="shared" si="3"/>
        <v>37508.1</v>
      </c>
      <c r="K47" s="49">
        <f t="shared" si="14"/>
        <v>16671.89</v>
      </c>
      <c r="L47" s="31">
        <v>16254</v>
      </c>
      <c r="M47" s="24">
        <v>946238</v>
      </c>
      <c r="N47" s="50">
        <v>46099</v>
      </c>
      <c r="O47" s="51">
        <v>451.50720000000001</v>
      </c>
      <c r="P47" s="51">
        <f t="shared" si="4"/>
        <v>35.999425922775984</v>
      </c>
      <c r="Q47" s="51">
        <v>9905.6999999999989</v>
      </c>
      <c r="R47" s="2">
        <v>603000477</v>
      </c>
      <c r="S47" s="3">
        <v>46112</v>
      </c>
      <c r="T47" s="51">
        <v>472.05459999999999</v>
      </c>
      <c r="U47" s="51">
        <f t="shared" si="5"/>
        <v>20.984225129889634</v>
      </c>
      <c r="V47" s="66">
        <v>11348.4</v>
      </c>
      <c r="W47" s="2">
        <v>605000344</v>
      </c>
      <c r="X47" s="5">
        <v>46171</v>
      </c>
      <c r="Y47" s="51">
        <v>547.04100000000005</v>
      </c>
      <c r="Z47" s="51">
        <f t="shared" si="6"/>
        <v>20.745062984310131</v>
      </c>
      <c r="AA47" s="55"/>
      <c r="AB47" s="55"/>
      <c r="AC47" s="55"/>
      <c r="AD47" s="51"/>
      <c r="AE47" s="51"/>
      <c r="AF47" s="53"/>
      <c r="AG47" s="34"/>
      <c r="AH47" s="53"/>
      <c r="AI47" s="51"/>
      <c r="AJ47" s="51"/>
      <c r="AK47" s="53"/>
      <c r="AL47" s="53"/>
      <c r="AM47" s="53"/>
      <c r="AN47" s="51"/>
      <c r="AO47" s="51"/>
      <c r="AP47" s="53"/>
      <c r="AQ47" s="53"/>
      <c r="AR47" s="53"/>
      <c r="AS47" s="51"/>
      <c r="AT47" s="51"/>
      <c r="AU47" s="53"/>
      <c r="AV47" s="53"/>
      <c r="AW47" s="53"/>
      <c r="AX47" s="51"/>
      <c r="AY47" s="51">
        <f t="shared" si="15"/>
        <v>0</v>
      </c>
      <c r="AZ47" s="55"/>
      <c r="BA47" s="55"/>
      <c r="BB47" s="55"/>
      <c r="BC47" s="51"/>
      <c r="BD47" s="51"/>
    </row>
    <row r="48" spans="1:56" ht="14.4" x14ac:dyDescent="0.3">
      <c r="A48" s="42">
        <v>47</v>
      </c>
      <c r="B48" s="2">
        <v>13841</v>
      </c>
      <c r="C48" s="53" t="s">
        <v>121</v>
      </c>
      <c r="D48" s="43">
        <v>70392.52</v>
      </c>
      <c r="E48" s="51"/>
      <c r="F48" s="51"/>
      <c r="G48" s="50">
        <v>46101</v>
      </c>
      <c r="H48" s="70">
        <v>0</v>
      </c>
      <c r="I48" s="2">
        <v>188084567</v>
      </c>
      <c r="J48" s="49">
        <f t="shared" si="3"/>
        <v>36649.689999999995</v>
      </c>
      <c r="K48" s="49">
        <f t="shared" si="14"/>
        <v>33742.830000000009</v>
      </c>
      <c r="L48" s="31">
        <v>21072.92</v>
      </c>
      <c r="M48" s="24">
        <v>756278</v>
      </c>
      <c r="N48" s="50">
        <v>46098</v>
      </c>
      <c r="O48" s="51">
        <v>449.15600000000001</v>
      </c>
      <c r="P48" s="51">
        <f t="shared" si="4"/>
        <v>46.916705999697207</v>
      </c>
      <c r="Q48" s="2">
        <v>445.67</v>
      </c>
      <c r="R48" s="2">
        <v>604000300</v>
      </c>
      <c r="S48" s="50">
        <v>46147</v>
      </c>
      <c r="T48" s="51">
        <v>490.04419999999999</v>
      </c>
      <c r="U48" s="51">
        <f t="shared" si="5"/>
        <v>0.90944857627128328</v>
      </c>
      <c r="V48" s="66">
        <v>15131.1</v>
      </c>
      <c r="W48" s="2">
        <v>605000344</v>
      </c>
      <c r="X48" s="5">
        <v>46171</v>
      </c>
      <c r="Y48" s="51">
        <v>547.04100000000005</v>
      </c>
      <c r="Z48" s="51">
        <f t="shared" si="6"/>
        <v>27.659901177425457</v>
      </c>
      <c r="AA48" s="53"/>
      <c r="AB48" s="53"/>
      <c r="AC48" s="53"/>
      <c r="AD48" s="51"/>
      <c r="AE48" s="51"/>
      <c r="AF48" s="53"/>
      <c r="AG48" s="53"/>
      <c r="AH48" s="53"/>
      <c r="AI48" s="51"/>
      <c r="AJ48" s="51"/>
      <c r="AK48" s="53"/>
      <c r="AL48" s="53"/>
      <c r="AM48" s="53"/>
      <c r="AN48" s="51"/>
      <c r="AO48" s="51"/>
      <c r="AP48" s="53"/>
      <c r="AQ48" s="53"/>
      <c r="AR48" s="53"/>
      <c r="AS48" s="51"/>
      <c r="AT48" s="51"/>
      <c r="AU48" s="53"/>
      <c r="AV48" s="53"/>
      <c r="AW48" s="53"/>
      <c r="AX48" s="51"/>
      <c r="AY48" s="51">
        <f t="shared" si="15"/>
        <v>0</v>
      </c>
      <c r="AZ48" s="55"/>
      <c r="BA48" s="55"/>
      <c r="BB48" s="55"/>
      <c r="BC48" s="51"/>
      <c r="BD48" s="51"/>
    </row>
    <row r="49" spans="1:56" ht="14.4" x14ac:dyDescent="0.3">
      <c r="A49" s="42">
        <v>48</v>
      </c>
      <c r="B49" s="2">
        <v>13840</v>
      </c>
      <c r="C49" s="53" t="s">
        <v>45</v>
      </c>
      <c r="D49" s="43">
        <v>97958.25</v>
      </c>
      <c r="E49" s="51"/>
      <c r="F49" s="51"/>
      <c r="G49" s="50">
        <v>46101</v>
      </c>
      <c r="H49" s="70">
        <v>0</v>
      </c>
      <c r="I49" s="2">
        <v>13564564</v>
      </c>
      <c r="J49" s="49">
        <f t="shared" si="3"/>
        <v>97958.25</v>
      </c>
      <c r="K49" s="49">
        <f t="shared" si="14"/>
        <v>0</v>
      </c>
      <c r="L49" s="31">
        <v>27658.799999999999</v>
      </c>
      <c r="M49" s="24">
        <v>592236</v>
      </c>
      <c r="N49" s="50">
        <v>46094</v>
      </c>
      <c r="O49" s="51">
        <v>443.25869999999998</v>
      </c>
      <c r="P49" s="51">
        <f t="shared" si="4"/>
        <v>62.398775252465434</v>
      </c>
      <c r="Q49" s="31">
        <v>11244.35</v>
      </c>
      <c r="R49" s="24">
        <v>631027</v>
      </c>
      <c r="S49" s="50">
        <v>46111</v>
      </c>
      <c r="T49" s="51">
        <v>471.7004</v>
      </c>
      <c r="U49" s="51">
        <f t="shared" si="5"/>
        <v>23.837906433829609</v>
      </c>
      <c r="V49" s="51">
        <v>11514.66</v>
      </c>
      <c r="W49" s="44">
        <v>413168</v>
      </c>
      <c r="X49" s="50">
        <v>46128</v>
      </c>
      <c r="Y49" s="51">
        <v>479.77749999999997</v>
      </c>
      <c r="Z49" s="51">
        <f t="shared" si="6"/>
        <v>24</v>
      </c>
      <c r="AA49" s="51">
        <v>11526.17</v>
      </c>
      <c r="AB49" s="44">
        <v>70036</v>
      </c>
      <c r="AC49" s="50">
        <v>46132</v>
      </c>
      <c r="AD49" s="51">
        <v>481.21769999999998</v>
      </c>
      <c r="AE49" s="51">
        <f t="shared" si="7"/>
        <v>23.952090706555474</v>
      </c>
      <c r="AF49" s="51">
        <v>11612.87</v>
      </c>
      <c r="AG49" s="44">
        <v>979123</v>
      </c>
      <c r="AH49" s="50">
        <v>46139</v>
      </c>
      <c r="AI49" s="51">
        <v>484.74040000000002</v>
      </c>
      <c r="AJ49" s="51">
        <f t="shared" si="8"/>
        <v>23.956884963580507</v>
      </c>
      <c r="AK49" s="45">
        <v>24401.4</v>
      </c>
      <c r="AL49" s="52">
        <v>175446</v>
      </c>
      <c r="AM49" s="46">
        <v>46192</v>
      </c>
      <c r="AN49" s="51">
        <v>605.39369999999997</v>
      </c>
      <c r="AO49" s="51">
        <f t="shared" si="10"/>
        <v>40.306663250707764</v>
      </c>
      <c r="AP49" s="53"/>
      <c r="AQ49" s="54"/>
      <c r="AR49" s="53"/>
      <c r="AS49" s="51"/>
      <c r="AT49" s="51"/>
      <c r="AU49" s="53"/>
      <c r="AV49" s="53"/>
      <c r="AW49" s="53"/>
      <c r="AX49" s="51"/>
      <c r="AY49" s="51">
        <f t="shared" si="15"/>
        <v>0</v>
      </c>
      <c r="AZ49" s="55"/>
      <c r="BA49" s="55"/>
      <c r="BB49" s="55"/>
      <c r="BC49" s="51"/>
      <c r="BD49" s="51"/>
    </row>
    <row r="50" spans="1:56" ht="14.4" x14ac:dyDescent="0.3">
      <c r="A50" s="42">
        <v>49</v>
      </c>
      <c r="B50" s="2">
        <v>13803</v>
      </c>
      <c r="C50" s="53" t="s">
        <v>46</v>
      </c>
      <c r="D50" s="43">
        <v>68797.399999999994</v>
      </c>
      <c r="E50" s="51">
        <f t="shared" si="9"/>
        <v>153.97641207077453</v>
      </c>
      <c r="F50" s="51">
        <f t="shared" si="2"/>
        <v>38.494103017693632</v>
      </c>
      <c r="G50" s="50">
        <v>46097</v>
      </c>
      <c r="H50" s="70">
        <v>446.8048</v>
      </c>
      <c r="I50" s="2">
        <v>27752203</v>
      </c>
      <c r="J50" s="49">
        <f t="shared" si="3"/>
        <v>68797.399999999994</v>
      </c>
      <c r="K50" s="49">
        <f t="shared" si="14"/>
        <v>0</v>
      </c>
      <c r="L50" s="31">
        <v>17528</v>
      </c>
      <c r="M50" s="24">
        <v>442389</v>
      </c>
      <c r="N50" s="50">
        <v>46092</v>
      </c>
      <c r="O50" s="51">
        <v>438.20499999999998</v>
      </c>
      <c r="P50" s="51">
        <f t="shared" si="4"/>
        <v>39.999543592610763</v>
      </c>
      <c r="Q50" s="31">
        <v>13586.92</v>
      </c>
      <c r="R50" s="24">
        <v>456217</v>
      </c>
      <c r="S50" s="50">
        <v>46108</v>
      </c>
      <c r="T50" s="51">
        <v>468.51</v>
      </c>
      <c r="U50" s="51">
        <f t="shared" si="5"/>
        <v>29.00027747540074</v>
      </c>
      <c r="V50" s="2">
        <v>30558.43</v>
      </c>
      <c r="W50" s="2">
        <v>756359</v>
      </c>
      <c r="X50" s="50">
        <v>46164</v>
      </c>
      <c r="Y50" s="51">
        <v>526.86940000000004</v>
      </c>
      <c r="Z50" s="51">
        <f t="shared" si="6"/>
        <v>58.00000911041711</v>
      </c>
      <c r="AA50" s="6">
        <v>7124.05</v>
      </c>
      <c r="AB50" s="53">
        <v>611405</v>
      </c>
      <c r="AC50" s="54">
        <v>46189</v>
      </c>
      <c r="AD50" s="51">
        <v>610.9</v>
      </c>
      <c r="AE50" s="51"/>
      <c r="AF50" s="53"/>
      <c r="AG50" s="53"/>
      <c r="AH50" s="53"/>
      <c r="AI50" s="51"/>
      <c r="AJ50" s="51"/>
      <c r="AK50" s="53"/>
      <c r="AL50" s="55"/>
      <c r="AM50" s="53"/>
      <c r="AN50" s="51"/>
      <c r="AO50" s="51"/>
      <c r="AP50" s="55"/>
      <c r="AQ50" s="53"/>
      <c r="AR50" s="53"/>
      <c r="AS50" s="51"/>
      <c r="AT50" s="51"/>
      <c r="AU50" s="53"/>
      <c r="AV50" s="53"/>
      <c r="AW50" s="53"/>
      <c r="AX50" s="51"/>
      <c r="AY50" s="51">
        <f t="shared" si="15"/>
        <v>0</v>
      </c>
      <c r="AZ50" s="55"/>
      <c r="BA50" s="55"/>
      <c r="BB50" s="55"/>
      <c r="BC50" s="51"/>
      <c r="BD50" s="51"/>
    </row>
    <row r="51" spans="1:56" ht="14.4" x14ac:dyDescent="0.3">
      <c r="A51" s="42">
        <v>50</v>
      </c>
      <c r="B51" s="2">
        <v>13801</v>
      </c>
      <c r="C51" s="53" t="s">
        <v>47</v>
      </c>
      <c r="D51" s="43">
        <v>31027.49</v>
      </c>
      <c r="E51" s="51">
        <f t="shared" si="9"/>
        <v>69.44305432707975</v>
      </c>
      <c r="F51" s="51">
        <f t="shared" si="2"/>
        <v>17.360763581769938</v>
      </c>
      <c r="G51" s="50">
        <v>46097</v>
      </c>
      <c r="H51" s="70">
        <v>446.8048</v>
      </c>
      <c r="I51" s="2">
        <v>20278833</v>
      </c>
      <c r="J51" s="49">
        <f t="shared" si="3"/>
        <v>12105.82</v>
      </c>
      <c r="K51" s="49">
        <f t="shared" si="14"/>
        <v>18921.670000000002</v>
      </c>
      <c r="L51" s="31">
        <v>9309</v>
      </c>
      <c r="M51" s="24">
        <v>837505</v>
      </c>
      <c r="N51" s="50">
        <v>46094</v>
      </c>
      <c r="O51" s="51">
        <v>443.25869999999998</v>
      </c>
      <c r="P51" s="51">
        <f t="shared" si="4"/>
        <v>21.001279839515842</v>
      </c>
      <c r="Q51" s="51">
        <v>577.83000000000004</v>
      </c>
      <c r="R51" s="2">
        <v>603000477</v>
      </c>
      <c r="S51" s="3">
        <v>46112</v>
      </c>
      <c r="T51" s="51">
        <v>472.05459999999999</v>
      </c>
      <c r="U51" s="51">
        <f t="shared" si="5"/>
        <v>1.224074503246023</v>
      </c>
      <c r="V51" s="2">
        <v>1786.68</v>
      </c>
      <c r="W51" s="2">
        <v>604000300</v>
      </c>
      <c r="X51" s="50">
        <v>46147</v>
      </c>
      <c r="Y51" s="51">
        <v>490.04419999999999</v>
      </c>
      <c r="Z51" s="51">
        <f t="shared" si="6"/>
        <v>3.6459568340978223</v>
      </c>
      <c r="AA51" s="66">
        <v>432.31</v>
      </c>
      <c r="AB51" s="2">
        <v>605000344</v>
      </c>
      <c r="AC51" s="5">
        <v>46171</v>
      </c>
      <c r="AD51" s="51">
        <v>547.04100000000005</v>
      </c>
      <c r="AE51" s="51">
        <f t="shared" si="7"/>
        <v>0.79026983352253299</v>
      </c>
      <c r="AF51" s="53"/>
      <c r="AG51" s="53"/>
      <c r="AH51" s="53"/>
      <c r="AI51" s="51"/>
      <c r="AJ51" s="51"/>
      <c r="AK51" s="53"/>
      <c r="AL51" s="53"/>
      <c r="AM51" s="53"/>
      <c r="AN51" s="51"/>
      <c r="AO51" s="51"/>
      <c r="AP51" s="53"/>
      <c r="AQ51" s="53"/>
      <c r="AR51" s="53"/>
      <c r="AS51" s="51"/>
      <c r="AT51" s="51"/>
      <c r="AU51" s="53"/>
      <c r="AV51" s="53"/>
      <c r="AW51" s="53"/>
      <c r="AX51" s="51"/>
      <c r="AY51" s="51">
        <f t="shared" si="15"/>
        <v>0</v>
      </c>
      <c r="AZ51" s="55"/>
      <c r="BA51" s="55"/>
      <c r="BB51" s="55"/>
      <c r="BC51" s="51"/>
      <c r="BD51" s="51"/>
    </row>
    <row r="52" spans="1:56" ht="14.4" x14ac:dyDescent="0.3">
      <c r="A52" s="42">
        <v>51</v>
      </c>
      <c r="B52" s="2">
        <v>13799</v>
      </c>
      <c r="C52" s="53" t="s">
        <v>122</v>
      </c>
      <c r="D52" s="43">
        <v>38562.75</v>
      </c>
      <c r="E52" s="51">
        <f t="shared" si="9"/>
        <v>86.307823908785224</v>
      </c>
      <c r="F52" s="51">
        <f t="shared" si="2"/>
        <v>21.576955977196306</v>
      </c>
      <c r="G52" s="50">
        <v>46097</v>
      </c>
      <c r="H52" s="70">
        <v>446.8048</v>
      </c>
      <c r="I52" s="2">
        <v>27475406</v>
      </c>
      <c r="J52" s="49">
        <f t="shared" si="3"/>
        <v>35343.840000000004</v>
      </c>
      <c r="K52" s="49">
        <f t="shared" si="14"/>
        <v>3218.9099999999962</v>
      </c>
      <c r="L52" s="31">
        <v>11524.5</v>
      </c>
      <c r="M52" s="24">
        <v>606377</v>
      </c>
      <c r="N52" s="50">
        <v>46094</v>
      </c>
      <c r="O52" s="51">
        <v>443.25869999999998</v>
      </c>
      <c r="P52" s="51">
        <f t="shared" si="4"/>
        <v>25.999489688527266</v>
      </c>
      <c r="Q52" s="51">
        <v>7203.9</v>
      </c>
      <c r="R52" s="44">
        <v>429861</v>
      </c>
      <c r="S52" s="50">
        <v>46132</v>
      </c>
      <c r="T52" s="51">
        <v>481.21769999999998</v>
      </c>
      <c r="U52" s="51">
        <f t="shared" si="5"/>
        <v>14.970147606790025</v>
      </c>
      <c r="V52" s="14">
        <v>7727.7</v>
      </c>
      <c r="W52" s="38">
        <v>535174</v>
      </c>
      <c r="X52" s="12">
        <v>46161</v>
      </c>
      <c r="Y52" s="51">
        <v>517.96190000000001</v>
      </c>
      <c r="Z52" s="51">
        <f t="shared" si="6"/>
        <v>14.919437124622487</v>
      </c>
      <c r="AA52" s="45">
        <v>8887.74</v>
      </c>
      <c r="AB52" s="52">
        <v>643044</v>
      </c>
      <c r="AC52" s="46">
        <v>46189</v>
      </c>
      <c r="AD52" s="51">
        <v>592.5163</v>
      </c>
      <c r="AE52" s="51">
        <f t="shared" si="7"/>
        <v>14.999992405272225</v>
      </c>
      <c r="AF52" s="55"/>
      <c r="AG52" s="53"/>
      <c r="AH52" s="53"/>
      <c r="AI52" s="51"/>
      <c r="AJ52" s="51"/>
      <c r="AK52" s="53"/>
      <c r="AL52" s="53"/>
      <c r="AM52" s="53"/>
      <c r="AN52" s="51"/>
      <c r="AO52" s="51"/>
      <c r="AP52" s="53"/>
      <c r="AQ52" s="53"/>
      <c r="AR52" s="53"/>
      <c r="AS52" s="51"/>
      <c r="AT52" s="51"/>
      <c r="AU52" s="53"/>
      <c r="AV52" s="53"/>
      <c r="AW52" s="53"/>
      <c r="AX52" s="51"/>
      <c r="AY52" s="51">
        <f t="shared" si="15"/>
        <v>0</v>
      </c>
      <c r="AZ52" s="55"/>
      <c r="BA52" s="55"/>
      <c r="BB52" s="55"/>
      <c r="BC52" s="51"/>
      <c r="BD52" s="51"/>
    </row>
    <row r="53" spans="1:56" ht="14.4" x14ac:dyDescent="0.3">
      <c r="A53" s="42">
        <v>52</v>
      </c>
      <c r="B53" s="2">
        <v>13797</v>
      </c>
      <c r="C53" s="53" t="s">
        <v>123</v>
      </c>
      <c r="D53" s="43">
        <v>188102.8</v>
      </c>
      <c r="E53" s="51">
        <f t="shared" si="9"/>
        <v>420.9954772195822</v>
      </c>
      <c r="F53" s="51">
        <f t="shared" si="2"/>
        <v>105.24886930489555</v>
      </c>
      <c r="G53" s="50">
        <v>46097</v>
      </c>
      <c r="H53" s="70">
        <v>446.8048</v>
      </c>
      <c r="I53" s="2">
        <v>15485970</v>
      </c>
      <c r="J53" s="49">
        <f t="shared" si="3"/>
        <v>56297</v>
      </c>
      <c r="K53" s="49">
        <f t="shared" si="14"/>
        <v>131805.79999999999</v>
      </c>
      <c r="L53" s="31">
        <v>56297</v>
      </c>
      <c r="M53" s="24">
        <v>38828</v>
      </c>
      <c r="N53" s="50">
        <v>46097</v>
      </c>
      <c r="O53" s="51">
        <v>446.8048</v>
      </c>
      <c r="P53" s="51">
        <f t="shared" si="4"/>
        <v>125.9990940115236</v>
      </c>
      <c r="Q53" s="22"/>
      <c r="R53" s="2"/>
      <c r="S53" s="2"/>
      <c r="T53" s="51"/>
      <c r="U53" s="51"/>
      <c r="V53" s="22"/>
      <c r="W53" s="53"/>
      <c r="X53" s="2"/>
      <c r="Y53" s="51"/>
      <c r="Z53" s="51"/>
      <c r="AA53" s="53"/>
      <c r="AB53" s="53"/>
      <c r="AC53" s="53"/>
      <c r="AD53" s="51"/>
      <c r="AE53" s="51"/>
      <c r="AF53" s="53"/>
      <c r="AG53" s="53"/>
      <c r="AH53" s="53"/>
      <c r="AI53" s="51"/>
      <c r="AJ53" s="51"/>
      <c r="AK53" s="53"/>
      <c r="AL53" s="53"/>
      <c r="AM53" s="53"/>
      <c r="AN53" s="51"/>
      <c r="AO53" s="51"/>
      <c r="AP53" s="53"/>
      <c r="AQ53" s="53"/>
      <c r="AR53" s="53"/>
      <c r="AS53" s="51"/>
      <c r="AT53" s="51"/>
      <c r="AU53" s="53"/>
      <c r="AV53" s="53"/>
      <c r="AW53" s="53"/>
      <c r="AX53" s="51"/>
      <c r="AY53" s="51">
        <f t="shared" si="15"/>
        <v>0</v>
      </c>
      <c r="AZ53" s="55"/>
      <c r="BA53" s="55"/>
      <c r="BB53" s="55"/>
      <c r="BC53" s="51"/>
      <c r="BD53" s="51"/>
    </row>
    <row r="54" spans="1:56" ht="14.4" x14ac:dyDescent="0.3">
      <c r="A54" s="42">
        <v>53</v>
      </c>
      <c r="B54" s="2">
        <v>13796</v>
      </c>
      <c r="C54" s="53" t="s">
        <v>48</v>
      </c>
      <c r="D54" s="43">
        <v>37977.99</v>
      </c>
      <c r="E54" s="51">
        <f t="shared" si="9"/>
        <v>84.999064468421111</v>
      </c>
      <c r="F54" s="51">
        <f t="shared" si="2"/>
        <v>21.249766117105278</v>
      </c>
      <c r="G54" s="50">
        <v>46097</v>
      </c>
      <c r="H54" s="70">
        <v>446.8048</v>
      </c>
      <c r="I54" s="2">
        <v>14277220</v>
      </c>
      <c r="J54" s="49">
        <f t="shared" si="3"/>
        <v>28874</v>
      </c>
      <c r="K54" s="49">
        <f t="shared" si="14"/>
        <v>9103.989999999998</v>
      </c>
      <c r="L54" s="31">
        <v>9383</v>
      </c>
      <c r="M54" s="24">
        <v>909754</v>
      </c>
      <c r="N54" s="50">
        <v>46097</v>
      </c>
      <c r="O54" s="51">
        <v>446.8048</v>
      </c>
      <c r="P54" s="51">
        <f t="shared" si="4"/>
        <v>21.000222020891449</v>
      </c>
      <c r="Q54" s="31">
        <v>9491</v>
      </c>
      <c r="R54" s="24">
        <v>838324</v>
      </c>
      <c r="S54" s="50">
        <v>46119</v>
      </c>
      <c r="T54" s="51">
        <v>474.53379999999999</v>
      </c>
      <c r="U54" s="51">
        <f t="shared" si="5"/>
        <v>20.000682775389237</v>
      </c>
      <c r="V54" s="51">
        <v>10000</v>
      </c>
      <c r="W54" s="2">
        <v>191454</v>
      </c>
      <c r="X54" s="50">
        <v>46163</v>
      </c>
      <c r="Y54" s="51">
        <v>523.67499999999995</v>
      </c>
      <c r="Z54" s="51">
        <f t="shared" si="6"/>
        <v>19.095813242946484</v>
      </c>
      <c r="AA54" s="53"/>
      <c r="AB54" s="53"/>
      <c r="AC54" s="53"/>
      <c r="AD54" s="51"/>
      <c r="AE54" s="51"/>
      <c r="AF54" s="53"/>
      <c r="AG54" s="53"/>
      <c r="AH54" s="53"/>
      <c r="AI54" s="51"/>
      <c r="AJ54" s="51"/>
      <c r="AK54" s="53"/>
      <c r="AL54" s="53"/>
      <c r="AM54" s="53"/>
      <c r="AN54" s="51"/>
      <c r="AO54" s="51"/>
      <c r="AP54" s="53"/>
      <c r="AQ54" s="53"/>
      <c r="AR54" s="53"/>
      <c r="AS54" s="51"/>
      <c r="AT54" s="51"/>
      <c r="AU54" s="53"/>
      <c r="AV54" s="53"/>
      <c r="AW54" s="53"/>
      <c r="AX54" s="51"/>
      <c r="AY54" s="51">
        <f t="shared" si="15"/>
        <v>0</v>
      </c>
      <c r="AZ54" s="55"/>
      <c r="BA54" s="55"/>
      <c r="BB54" s="55"/>
      <c r="BC54" s="51"/>
      <c r="BD54" s="51"/>
    </row>
    <row r="55" spans="1:56" ht="14.4" x14ac:dyDescent="0.3">
      <c r="A55" s="42">
        <v>54</v>
      </c>
      <c r="B55" s="2">
        <v>13706</v>
      </c>
      <c r="C55" s="53" t="s">
        <v>49</v>
      </c>
      <c r="D55" s="51">
        <v>259045.38</v>
      </c>
      <c r="E55" s="51"/>
      <c r="F55" s="51"/>
      <c r="G55" s="50">
        <v>46091</v>
      </c>
      <c r="H55" s="70">
        <v>0</v>
      </c>
      <c r="I55" s="2">
        <v>11049856</v>
      </c>
      <c r="J55" s="49">
        <f t="shared" si="3"/>
        <v>77189.11</v>
      </c>
      <c r="K55" s="49">
        <f t="shared" si="14"/>
        <v>181856.27000000002</v>
      </c>
      <c r="L55" s="31">
        <v>77189.11</v>
      </c>
      <c r="M55" s="24">
        <v>558534</v>
      </c>
      <c r="N55" s="50">
        <v>46090</v>
      </c>
      <c r="O55" s="51">
        <v>433.16640000000001</v>
      </c>
      <c r="P55" s="51">
        <f t="shared" si="4"/>
        <v>178.19736249164293</v>
      </c>
      <c r="Q55" s="22"/>
      <c r="R55" s="2"/>
      <c r="S55" s="2"/>
      <c r="T55" s="51"/>
      <c r="U55" s="51"/>
      <c r="V55" s="22"/>
      <c r="W55" s="53"/>
      <c r="X55" s="2"/>
      <c r="Y55" s="51"/>
      <c r="Z55" s="51"/>
      <c r="AA55" s="53"/>
      <c r="AB55" s="53"/>
      <c r="AC55" s="53"/>
      <c r="AD55" s="51"/>
      <c r="AE55" s="51"/>
      <c r="AF55" s="53"/>
      <c r="AG55" s="53"/>
      <c r="AH55" s="53"/>
      <c r="AI55" s="51"/>
      <c r="AJ55" s="51"/>
      <c r="AK55" s="53"/>
      <c r="AL55" s="53"/>
      <c r="AM55" s="53"/>
      <c r="AN55" s="51"/>
      <c r="AO55" s="51"/>
      <c r="AP55" s="53"/>
      <c r="AQ55" s="53"/>
      <c r="AR55" s="53"/>
      <c r="AS55" s="51"/>
      <c r="AT55" s="51"/>
      <c r="AU55" s="53"/>
      <c r="AV55" s="53"/>
      <c r="AW55" s="53"/>
      <c r="AX55" s="51"/>
      <c r="AY55" s="51">
        <f t="shared" si="15"/>
        <v>0</v>
      </c>
      <c r="AZ55" s="55"/>
      <c r="BA55" s="55"/>
      <c r="BB55" s="55"/>
      <c r="BC55" s="51"/>
      <c r="BD55" s="51"/>
    </row>
    <row r="56" spans="1:56" ht="14.4" x14ac:dyDescent="0.3">
      <c r="A56" s="42">
        <v>55</v>
      </c>
      <c r="B56" s="2">
        <v>13705</v>
      </c>
      <c r="C56" s="53" t="s">
        <v>50</v>
      </c>
      <c r="D56" s="51">
        <v>68489.679999999993</v>
      </c>
      <c r="E56" s="51"/>
      <c r="F56" s="51"/>
      <c r="G56" s="50">
        <v>46091</v>
      </c>
      <c r="H56" s="70">
        <v>0</v>
      </c>
      <c r="I56" s="2">
        <v>16870377</v>
      </c>
      <c r="J56" s="49">
        <f t="shared" si="3"/>
        <v>50706.64</v>
      </c>
      <c r="K56" s="49">
        <f t="shared" si="14"/>
        <v>17783.039999999994</v>
      </c>
      <c r="L56" s="31">
        <v>20000</v>
      </c>
      <c r="M56" s="24">
        <v>883928</v>
      </c>
      <c r="N56" s="50">
        <v>46090</v>
      </c>
      <c r="O56" s="51">
        <v>433.16640000000001</v>
      </c>
      <c r="P56" s="51">
        <f t="shared" si="4"/>
        <v>46.171632887500046</v>
      </c>
      <c r="Q56" s="31">
        <v>401.83</v>
      </c>
      <c r="R56" s="24">
        <v>890992</v>
      </c>
      <c r="S56" s="50">
        <v>46090</v>
      </c>
      <c r="T56" s="51">
        <v>433.16640000000001</v>
      </c>
      <c r="U56" s="51">
        <f t="shared" si="5"/>
        <v>0.92765736215920713</v>
      </c>
      <c r="V56" s="51">
        <v>9124.75</v>
      </c>
      <c r="W56" s="44">
        <v>299614</v>
      </c>
      <c r="X56" s="50">
        <v>46129</v>
      </c>
      <c r="Y56" s="51">
        <v>480.25720000000001</v>
      </c>
      <c r="Z56" s="51">
        <f t="shared" si="6"/>
        <v>18.999715152630714</v>
      </c>
      <c r="AA56" s="51">
        <v>9841.24</v>
      </c>
      <c r="AB56" s="2">
        <v>331217</v>
      </c>
      <c r="AC56" s="50">
        <v>46161</v>
      </c>
      <c r="AD56" s="51">
        <v>517.96190000000001</v>
      </c>
      <c r="AE56" s="51">
        <f t="shared" si="7"/>
        <v>18.999930303754002</v>
      </c>
      <c r="AF56" s="45">
        <v>11338.82</v>
      </c>
      <c r="AG56" s="52">
        <v>176674</v>
      </c>
      <c r="AH56" s="46">
        <v>46190</v>
      </c>
      <c r="AI56" s="51">
        <v>596.78240000000005</v>
      </c>
      <c r="AJ56" s="51">
        <f t="shared" si="8"/>
        <v>18.999923590239923</v>
      </c>
      <c r="AK56" s="55"/>
      <c r="AL56" s="53"/>
      <c r="AM56" s="53"/>
      <c r="AN56" s="51"/>
      <c r="AO56" s="51"/>
      <c r="AP56" s="53"/>
      <c r="AQ56" s="53"/>
      <c r="AR56" s="53"/>
      <c r="AS56" s="51"/>
      <c r="AT56" s="51"/>
      <c r="AU56" s="53"/>
      <c r="AV56" s="53"/>
      <c r="AW56" s="53"/>
      <c r="AX56" s="51"/>
      <c r="AY56" s="51">
        <f t="shared" si="15"/>
        <v>0</v>
      </c>
      <c r="AZ56" s="55"/>
      <c r="BA56" s="55"/>
      <c r="BB56" s="55"/>
      <c r="BC56" s="51"/>
      <c r="BD56" s="51"/>
    </row>
    <row r="57" spans="1:56" ht="14.4" x14ac:dyDescent="0.3">
      <c r="A57" s="42">
        <v>56</v>
      </c>
      <c r="B57" s="2">
        <v>13691</v>
      </c>
      <c r="C57" s="53" t="s">
        <v>17</v>
      </c>
      <c r="D57" s="51">
        <v>176714.1</v>
      </c>
      <c r="E57" s="51">
        <f t="shared" si="9"/>
        <v>407.95892756224862</v>
      </c>
      <c r="F57" s="51">
        <f t="shared" si="2"/>
        <v>101.98973189056215</v>
      </c>
      <c r="G57" s="50">
        <v>46090</v>
      </c>
      <c r="H57" s="70">
        <v>433.16640000000001</v>
      </c>
      <c r="I57" s="2">
        <v>16795332</v>
      </c>
      <c r="J57" s="49">
        <f t="shared" si="3"/>
        <v>10500</v>
      </c>
      <c r="K57" s="49">
        <f t="shared" si="14"/>
        <v>166214.1</v>
      </c>
      <c r="L57" s="51">
        <v>10500</v>
      </c>
      <c r="M57" s="24">
        <v>705002</v>
      </c>
      <c r="N57" s="50">
        <v>46087</v>
      </c>
      <c r="O57" s="51">
        <v>428.4239</v>
      </c>
      <c r="P57" s="51">
        <f t="shared" si="4"/>
        <v>24.508436620832779</v>
      </c>
      <c r="Q57" s="22"/>
      <c r="R57" s="2"/>
      <c r="S57" s="2"/>
      <c r="T57" s="51"/>
      <c r="U57" s="51"/>
      <c r="V57" s="22"/>
      <c r="W57" s="53"/>
      <c r="X57" s="2"/>
      <c r="Y57" s="51"/>
      <c r="Z57" s="51"/>
      <c r="AA57" s="53"/>
      <c r="AB57" s="53"/>
      <c r="AC57" s="53"/>
      <c r="AD57" s="51"/>
      <c r="AE57" s="51"/>
      <c r="AF57" s="53"/>
      <c r="AG57" s="53"/>
      <c r="AH57" s="53"/>
      <c r="AI57" s="51"/>
      <c r="AJ57" s="51"/>
      <c r="AK57" s="53"/>
      <c r="AL57" s="53"/>
      <c r="AM57" s="53"/>
      <c r="AN57" s="51"/>
      <c r="AO57" s="51"/>
      <c r="AP57" s="53"/>
      <c r="AQ57" s="53"/>
      <c r="AR57" s="53"/>
      <c r="AS57" s="51"/>
      <c r="AT57" s="51"/>
      <c r="AU57" s="53"/>
      <c r="AV57" s="53"/>
      <c r="AW57" s="53"/>
      <c r="AX57" s="51"/>
      <c r="AY57" s="51">
        <f t="shared" si="15"/>
        <v>0</v>
      </c>
      <c r="AZ57" s="55"/>
      <c r="BA57" s="55"/>
      <c r="BB57" s="55"/>
      <c r="BC57" s="51"/>
      <c r="BD57" s="51"/>
    </row>
    <row r="58" spans="1:56" ht="14.4" x14ac:dyDescent="0.3">
      <c r="A58" s="42">
        <v>57</v>
      </c>
      <c r="B58" s="2">
        <v>13690</v>
      </c>
      <c r="C58" s="53" t="s">
        <v>51</v>
      </c>
      <c r="D58" s="51">
        <v>13792.32</v>
      </c>
      <c r="E58" s="51">
        <f t="shared" si="9"/>
        <v>31.840696785346232</v>
      </c>
      <c r="F58" s="51">
        <f t="shared" si="2"/>
        <v>7.960174196336558</v>
      </c>
      <c r="G58" s="50">
        <v>46090</v>
      </c>
      <c r="H58" s="70">
        <v>433.16640000000001</v>
      </c>
      <c r="I58" s="2">
        <v>7225971</v>
      </c>
      <c r="J58" s="49">
        <f t="shared" si="3"/>
        <v>11549.89</v>
      </c>
      <c r="K58" s="49">
        <f t="shared" si="14"/>
        <v>2242.4300000000003</v>
      </c>
      <c r="L58" s="31">
        <v>3879.09</v>
      </c>
      <c r="M58" s="24">
        <v>402194</v>
      </c>
      <c r="N58" s="50">
        <v>46087</v>
      </c>
      <c r="O58" s="51">
        <v>428.4239</v>
      </c>
      <c r="P58" s="51">
        <f t="shared" si="4"/>
        <v>9.0543268010958311</v>
      </c>
      <c r="Q58" s="31">
        <v>3773.6</v>
      </c>
      <c r="R58" s="2">
        <v>254076</v>
      </c>
      <c r="S58" s="50">
        <v>46108</v>
      </c>
      <c r="T58" s="51">
        <v>468.51</v>
      </c>
      <c r="U58" s="51">
        <f t="shared" si="5"/>
        <v>8.0544705555911289</v>
      </c>
      <c r="V58" s="51">
        <v>3897.2</v>
      </c>
      <c r="W58" s="44">
        <v>271136</v>
      </c>
      <c r="X58" s="50">
        <v>46142</v>
      </c>
      <c r="Y58" s="51">
        <v>489.55</v>
      </c>
      <c r="Z58" s="51">
        <f t="shared" si="6"/>
        <v>7.9607803084465321</v>
      </c>
      <c r="AA58" s="53"/>
      <c r="AB58" s="53"/>
      <c r="AC58" s="53"/>
      <c r="AD58" s="51"/>
      <c r="AE58" s="51"/>
      <c r="AF58" s="53"/>
      <c r="AG58" s="53"/>
      <c r="AH58" s="53"/>
      <c r="AI58" s="51"/>
      <c r="AJ58" s="51"/>
      <c r="AK58" s="53"/>
      <c r="AL58" s="53"/>
      <c r="AM58" s="53"/>
      <c r="AN58" s="51"/>
      <c r="AO58" s="51"/>
      <c r="AP58" s="53"/>
      <c r="AQ58" s="53"/>
      <c r="AR58" s="53"/>
      <c r="AS58" s="51"/>
      <c r="AT58" s="51"/>
      <c r="AU58" s="53"/>
      <c r="AV58" s="53"/>
      <c r="AW58" s="53"/>
      <c r="AX58" s="51"/>
      <c r="AY58" s="51">
        <f t="shared" si="15"/>
        <v>0</v>
      </c>
      <c r="AZ58" s="55"/>
      <c r="BA58" s="55"/>
      <c r="BB58" s="55"/>
      <c r="BC58" s="51"/>
      <c r="BD58" s="51"/>
    </row>
    <row r="59" spans="1:56" ht="14.4" x14ac:dyDescent="0.3">
      <c r="A59" s="42">
        <v>58</v>
      </c>
      <c r="B59" s="2">
        <v>13688</v>
      </c>
      <c r="C59" s="53" t="s">
        <v>124</v>
      </c>
      <c r="D59" s="51">
        <v>67668.570000000007</v>
      </c>
      <c r="E59" s="51">
        <f t="shared" si="9"/>
        <v>156.21841860310496</v>
      </c>
      <c r="F59" s="51">
        <f t="shared" si="2"/>
        <v>39.054604650776241</v>
      </c>
      <c r="G59" s="50">
        <v>46090</v>
      </c>
      <c r="H59" s="70">
        <v>433.16640000000001</v>
      </c>
      <c r="I59" s="2">
        <v>16184228</v>
      </c>
      <c r="J59" s="49">
        <f t="shared" si="3"/>
        <v>33542.229999999989</v>
      </c>
      <c r="K59" s="49">
        <f t="shared" si="14"/>
        <v>34126.340000000018</v>
      </c>
      <c r="L59" s="31">
        <v>20688.48</v>
      </c>
      <c r="M59" s="24">
        <v>100111</v>
      </c>
      <c r="N59" s="50">
        <v>46087</v>
      </c>
      <c r="O59" s="51">
        <v>428.4239</v>
      </c>
      <c r="P59" s="51">
        <f t="shared" si="4"/>
        <v>48.289742939177764</v>
      </c>
      <c r="Q59" s="51">
        <v>12853.749999999991</v>
      </c>
      <c r="R59" s="2">
        <v>603000477</v>
      </c>
      <c r="S59" s="3">
        <v>46112</v>
      </c>
      <c r="T59" s="51">
        <v>472.05459999999999</v>
      </c>
      <c r="U59" s="51">
        <f t="shared" si="5"/>
        <v>27.229371348144877</v>
      </c>
      <c r="V59" s="22"/>
      <c r="W59" s="53"/>
      <c r="X59" s="2"/>
      <c r="Y59" s="51"/>
      <c r="Z59" s="51"/>
      <c r="AA59" s="53"/>
      <c r="AB59" s="53"/>
      <c r="AC59" s="53"/>
      <c r="AD59" s="51"/>
      <c r="AE59" s="51"/>
      <c r="AF59" s="53"/>
      <c r="AG59" s="53"/>
      <c r="AH59" s="53"/>
      <c r="AI59" s="51"/>
      <c r="AJ59" s="51"/>
      <c r="AK59" s="53"/>
      <c r="AL59" s="53"/>
      <c r="AM59" s="53"/>
      <c r="AN59" s="51"/>
      <c r="AO59" s="51"/>
      <c r="AP59" s="53"/>
      <c r="AQ59" s="53"/>
      <c r="AR59" s="53"/>
      <c r="AS59" s="51"/>
      <c r="AT59" s="51"/>
      <c r="AU59" s="53"/>
      <c r="AV59" s="53"/>
      <c r="AW59" s="53"/>
      <c r="AX59" s="51"/>
      <c r="AY59" s="51">
        <f t="shared" si="15"/>
        <v>0</v>
      </c>
      <c r="AZ59" s="55"/>
      <c r="BA59" s="55"/>
      <c r="BB59" s="55"/>
      <c r="BC59" s="51"/>
      <c r="BD59" s="51"/>
    </row>
    <row r="60" spans="1:56" ht="14.4" x14ac:dyDescent="0.3">
      <c r="A60" s="42">
        <v>59</v>
      </c>
      <c r="B60" s="2">
        <v>13686</v>
      </c>
      <c r="C60" s="53" t="s">
        <v>52</v>
      </c>
      <c r="D60" s="51">
        <v>112062.6</v>
      </c>
      <c r="E60" s="51">
        <f t="shared" si="9"/>
        <v>258.70566138093812</v>
      </c>
      <c r="F60" s="51">
        <f t="shared" si="2"/>
        <v>64.676415345234531</v>
      </c>
      <c r="G60" s="50">
        <v>46090</v>
      </c>
      <c r="H60" s="70">
        <v>433.16640000000001</v>
      </c>
      <c r="I60" s="2">
        <v>14170120</v>
      </c>
      <c r="J60" s="49">
        <f t="shared" si="3"/>
        <v>132628.26</v>
      </c>
      <c r="K60" s="49">
        <f t="shared" si="14"/>
        <v>-20565.660000000003</v>
      </c>
      <c r="L60" s="31">
        <v>33618.78</v>
      </c>
      <c r="M60" s="24">
        <v>67699</v>
      </c>
      <c r="N60" s="50">
        <v>46087</v>
      </c>
      <c r="O60" s="51">
        <v>428.4239</v>
      </c>
      <c r="P60" s="51">
        <f t="shared" si="4"/>
        <v>78.470832276163861</v>
      </c>
      <c r="Q60" s="31">
        <v>21828.38</v>
      </c>
      <c r="R60" s="24">
        <v>418248</v>
      </c>
      <c r="S60" s="50">
        <v>46119</v>
      </c>
      <c r="T60" s="51">
        <v>474.53379999999999</v>
      </c>
      <c r="U60" s="51">
        <f t="shared" si="5"/>
        <v>45.999631638462851</v>
      </c>
      <c r="V60" s="51">
        <v>22519.3</v>
      </c>
      <c r="W60" s="44">
        <v>772292</v>
      </c>
      <c r="X60" s="50">
        <v>46146</v>
      </c>
      <c r="Y60" s="51">
        <v>489.31319999999999</v>
      </c>
      <c r="Z60" s="51">
        <f t="shared" si="6"/>
        <v>46.022261406395742</v>
      </c>
      <c r="AA60" s="51">
        <v>26002.880000000001</v>
      </c>
      <c r="AB60" s="24">
        <v>535667</v>
      </c>
      <c r="AC60" s="5">
        <v>46178</v>
      </c>
      <c r="AD60" s="51">
        <v>563.28920000000005</v>
      </c>
      <c r="AE60" s="51">
        <f t="shared" si="7"/>
        <v>46.162575103516986</v>
      </c>
      <c r="AF60" s="51">
        <v>28658.92</v>
      </c>
      <c r="AG60" s="34">
        <v>612656</v>
      </c>
      <c r="AH60" s="3">
        <v>46203</v>
      </c>
      <c r="AI60" s="51">
        <v>623.02229999999997</v>
      </c>
      <c r="AJ60" s="51">
        <f t="shared" si="8"/>
        <v>45.999830182643542</v>
      </c>
      <c r="AK60" s="55"/>
      <c r="AL60" s="53"/>
      <c r="AM60" s="53"/>
      <c r="AN60" s="51"/>
      <c r="AO60" s="51"/>
      <c r="AP60" s="53"/>
      <c r="AQ60" s="53"/>
      <c r="AR60" s="53"/>
      <c r="AS60" s="51"/>
      <c r="AT60" s="51"/>
      <c r="AU60" s="53"/>
      <c r="AV60" s="53"/>
      <c r="AW60" s="53"/>
      <c r="AX60" s="51"/>
      <c r="AY60" s="51">
        <f t="shared" si="15"/>
        <v>0</v>
      </c>
      <c r="AZ60" s="55"/>
      <c r="BA60" s="55"/>
      <c r="BB60" s="55"/>
      <c r="BC60" s="51"/>
      <c r="BD60" s="51"/>
    </row>
    <row r="61" spans="1:56" s="100" customFormat="1" ht="14.4" x14ac:dyDescent="0.3">
      <c r="A61" s="88">
        <v>60</v>
      </c>
      <c r="B61" s="2">
        <v>13685</v>
      </c>
      <c r="C61" s="90" t="s">
        <v>53</v>
      </c>
      <c r="D61" s="91">
        <v>118527.74</v>
      </c>
      <c r="E61" s="51">
        <f t="shared" si="9"/>
        <v>273.63096491325274</v>
      </c>
      <c r="F61" s="51">
        <f t="shared" si="2"/>
        <v>68.407741228313185</v>
      </c>
      <c r="G61" s="92">
        <v>46090</v>
      </c>
      <c r="H61" s="70">
        <v>433.16640000000001</v>
      </c>
      <c r="I61" s="89">
        <v>23188510</v>
      </c>
      <c r="J61" s="49">
        <f t="shared" si="3"/>
        <v>106494.17</v>
      </c>
      <c r="K61" s="91">
        <f t="shared" si="14"/>
        <v>12033.570000000007</v>
      </c>
      <c r="L61" s="93">
        <v>15516.36</v>
      </c>
      <c r="M61" s="94">
        <v>100111</v>
      </c>
      <c r="N61" s="92">
        <v>46087</v>
      </c>
      <c r="O61" s="91">
        <v>428.4239</v>
      </c>
      <c r="P61" s="91">
        <f t="shared" si="4"/>
        <v>36.217307204383324</v>
      </c>
      <c r="Q61" s="93">
        <v>20257.47</v>
      </c>
      <c r="R61" s="94">
        <v>99710</v>
      </c>
      <c r="S61" s="92">
        <v>46090</v>
      </c>
      <c r="T61" s="91">
        <v>433.16640000000001</v>
      </c>
      <c r="U61" s="91">
        <f t="shared" si="5"/>
        <v>46.766023403477277</v>
      </c>
      <c r="V61" s="91">
        <v>22971.84</v>
      </c>
      <c r="W61" s="95">
        <v>464541</v>
      </c>
      <c r="X61" s="92">
        <v>46127</v>
      </c>
      <c r="Y61" s="91">
        <v>478.58</v>
      </c>
      <c r="Z61" s="91">
        <f t="shared" si="6"/>
        <v>48</v>
      </c>
      <c r="AA61" s="91">
        <v>24860</v>
      </c>
      <c r="AB61" s="89">
        <v>347069</v>
      </c>
      <c r="AC61" s="92">
        <v>46161</v>
      </c>
      <c r="AD61" s="91">
        <v>517.96190000000001</v>
      </c>
      <c r="AE61" s="91">
        <f t="shared" si="7"/>
        <v>47.995808185891661</v>
      </c>
      <c r="AF61" s="96">
        <v>22888.5</v>
      </c>
      <c r="AG61" s="97">
        <v>240227</v>
      </c>
      <c r="AH61" s="98">
        <v>46191</v>
      </c>
      <c r="AI61" s="91">
        <v>602.33240000000001</v>
      </c>
      <c r="AJ61" s="91">
        <f t="shared" si="8"/>
        <v>37.999782180071996</v>
      </c>
      <c r="AK61" s="99"/>
      <c r="AL61" s="90"/>
      <c r="AM61" s="90"/>
      <c r="AN61" s="91"/>
      <c r="AO61" s="91"/>
      <c r="AP61" s="90"/>
      <c r="AQ61" s="90"/>
      <c r="AR61" s="90"/>
      <c r="AS61" s="91"/>
      <c r="AT61" s="91"/>
      <c r="AU61" s="90"/>
      <c r="AV61" s="90"/>
      <c r="AW61" s="90"/>
      <c r="AX61" s="91"/>
      <c r="AY61" s="91">
        <f t="shared" si="15"/>
        <v>0</v>
      </c>
      <c r="AZ61" s="99"/>
      <c r="BA61" s="99"/>
      <c r="BB61" s="99"/>
      <c r="BC61" s="91"/>
      <c r="BD61" s="91"/>
    </row>
    <row r="62" spans="1:56" ht="14.4" x14ac:dyDescent="0.3">
      <c r="A62" s="42">
        <v>61</v>
      </c>
      <c r="B62" s="2">
        <v>13595</v>
      </c>
      <c r="C62" s="53" t="s">
        <v>54</v>
      </c>
      <c r="D62" s="51">
        <v>66246.39</v>
      </c>
      <c r="E62" s="51">
        <f t="shared" si="9"/>
        <v>158.7280125762565</v>
      </c>
      <c r="F62" s="51">
        <f t="shared" si="2"/>
        <v>39.682003144064126</v>
      </c>
      <c r="G62" s="50">
        <v>46080</v>
      </c>
      <c r="H62" s="70">
        <v>417.35789999999997</v>
      </c>
      <c r="I62" s="2">
        <v>14458541</v>
      </c>
      <c r="J62" s="49">
        <f t="shared" si="3"/>
        <v>47172</v>
      </c>
      <c r="K62" s="49">
        <f t="shared" si="14"/>
        <v>19074.39</v>
      </c>
      <c r="L62" s="31">
        <v>19872</v>
      </c>
      <c r="M62" s="24">
        <v>635287</v>
      </c>
      <c r="N62" s="50">
        <v>46079</v>
      </c>
      <c r="O62" s="51">
        <v>414.0455</v>
      </c>
      <c r="P62" s="51">
        <f t="shared" si="4"/>
        <v>47.994725217397601</v>
      </c>
      <c r="Q62" s="31">
        <v>8940</v>
      </c>
      <c r="R62" s="24">
        <v>500082</v>
      </c>
      <c r="S62" s="50" t="s">
        <v>55</v>
      </c>
      <c r="T62" s="51"/>
      <c r="U62" s="51"/>
      <c r="V62" s="51">
        <v>8000</v>
      </c>
      <c r="W62" s="44">
        <v>492328</v>
      </c>
      <c r="X62" s="50">
        <v>46129</v>
      </c>
      <c r="Y62" s="51">
        <v>480.25720000000001</v>
      </c>
      <c r="Z62" s="51">
        <f t="shared" si="6"/>
        <v>16.657740893837719</v>
      </c>
      <c r="AA62" s="14">
        <v>10360</v>
      </c>
      <c r="AB62" s="38">
        <v>96665</v>
      </c>
      <c r="AC62" s="12">
        <v>46161</v>
      </c>
      <c r="AD62" s="51">
        <v>517.96190000000001</v>
      </c>
      <c r="AE62" s="51">
        <f t="shared" si="7"/>
        <v>20.001471150677297</v>
      </c>
      <c r="AF62" s="53"/>
      <c r="AG62" s="53"/>
      <c r="AH62" s="53"/>
      <c r="AI62" s="51"/>
      <c r="AJ62" s="51"/>
      <c r="AK62" s="53"/>
      <c r="AL62" s="53"/>
      <c r="AM62" s="53"/>
      <c r="AN62" s="51"/>
      <c r="AO62" s="51"/>
      <c r="AP62" s="53"/>
      <c r="AQ62" s="53"/>
      <c r="AR62" s="53"/>
      <c r="AS62" s="51"/>
      <c r="AT62" s="51"/>
      <c r="AU62" s="53"/>
      <c r="AV62" s="53"/>
      <c r="AW62" s="53"/>
      <c r="AX62" s="51"/>
      <c r="AY62" s="51">
        <f t="shared" si="15"/>
        <v>0</v>
      </c>
      <c r="AZ62" s="55"/>
      <c r="BA62" s="55"/>
      <c r="BB62" s="55"/>
      <c r="BC62" s="51"/>
      <c r="BD62" s="51"/>
    </row>
    <row r="63" spans="1:56" ht="14.4" x14ac:dyDescent="0.3">
      <c r="A63" s="42">
        <v>62</v>
      </c>
      <c r="B63" s="2">
        <v>13594</v>
      </c>
      <c r="C63" s="53" t="s">
        <v>56</v>
      </c>
      <c r="D63" s="51">
        <v>70475.009999999995</v>
      </c>
      <c r="E63" s="51">
        <f t="shared" si="9"/>
        <v>168.85989219324708</v>
      </c>
      <c r="F63" s="51">
        <f t="shared" si="2"/>
        <v>42.214973048311769</v>
      </c>
      <c r="G63" s="50">
        <v>46080</v>
      </c>
      <c r="H63" s="70">
        <v>417.35789999999997</v>
      </c>
      <c r="I63" s="2">
        <v>12193543</v>
      </c>
      <c r="J63" s="49">
        <f t="shared" si="3"/>
        <v>85288.23000000001</v>
      </c>
      <c r="K63" s="49">
        <f t="shared" si="14"/>
        <v>-14813.220000000016</v>
      </c>
      <c r="L63" s="31">
        <v>20000</v>
      </c>
      <c r="M63" s="24">
        <v>89808089</v>
      </c>
      <c r="N63" s="50">
        <v>46087</v>
      </c>
      <c r="O63" s="51">
        <v>428.4239</v>
      </c>
      <c r="P63" s="51">
        <f t="shared" si="4"/>
        <v>46.682736420633866</v>
      </c>
      <c r="Q63" s="45">
        <v>65288.23</v>
      </c>
      <c r="R63" s="2">
        <v>121663</v>
      </c>
      <c r="S63" s="50">
        <v>46190</v>
      </c>
      <c r="T63" s="51">
        <v>596.78240000000005</v>
      </c>
      <c r="U63" s="51">
        <f t="shared" si="5"/>
        <v>109.40039451565595</v>
      </c>
      <c r="V63" s="22"/>
      <c r="W63" s="53"/>
      <c r="X63" s="2"/>
      <c r="Y63" s="51"/>
      <c r="Z63" s="51"/>
      <c r="AA63" s="53"/>
      <c r="AB63" s="53"/>
      <c r="AC63" s="53"/>
      <c r="AD63" s="51"/>
      <c r="AE63" s="51"/>
      <c r="AF63" s="53"/>
      <c r="AG63" s="53"/>
      <c r="AH63" s="53"/>
      <c r="AI63" s="51"/>
      <c r="AJ63" s="51"/>
      <c r="AK63" s="53"/>
      <c r="AL63" s="53"/>
      <c r="AM63" s="53"/>
      <c r="AN63" s="51"/>
      <c r="AO63" s="51"/>
      <c r="AP63" s="53"/>
      <c r="AQ63" s="53"/>
      <c r="AR63" s="53"/>
      <c r="AS63" s="51"/>
      <c r="AT63" s="51"/>
      <c r="AU63" s="53"/>
      <c r="AV63" s="53"/>
      <c r="AW63" s="53"/>
      <c r="AX63" s="51"/>
      <c r="AY63" s="51">
        <f t="shared" si="15"/>
        <v>0</v>
      </c>
      <c r="AZ63" s="55"/>
      <c r="BA63" s="55"/>
      <c r="BB63" s="55"/>
      <c r="BC63" s="51"/>
      <c r="BD63" s="51"/>
    </row>
    <row r="64" spans="1:56" ht="14.4" x14ac:dyDescent="0.3">
      <c r="A64" s="42">
        <v>63</v>
      </c>
      <c r="B64" s="2">
        <v>13519</v>
      </c>
      <c r="C64" s="53" t="s">
        <v>57</v>
      </c>
      <c r="D64" s="51">
        <v>12773.62</v>
      </c>
      <c r="E64" s="51"/>
      <c r="F64" s="51"/>
      <c r="G64" s="50">
        <v>46064</v>
      </c>
      <c r="H64" s="70">
        <v>0</v>
      </c>
      <c r="I64" s="2">
        <v>23628773</v>
      </c>
      <c r="J64" s="49">
        <f t="shared" si="3"/>
        <v>12773.619999999999</v>
      </c>
      <c r="K64" s="49">
        <f t="shared" si="14"/>
        <v>0</v>
      </c>
      <c r="L64" s="31">
        <v>2500</v>
      </c>
      <c r="M64" s="2">
        <v>390973</v>
      </c>
      <c r="N64" s="50">
        <v>46094</v>
      </c>
      <c r="O64" s="51">
        <v>443.25869999999998</v>
      </c>
      <c r="P64" s="51">
        <f t="shared" si="4"/>
        <v>5.6400472229873886</v>
      </c>
      <c r="Q64" s="2">
        <v>5000</v>
      </c>
      <c r="R64" s="44">
        <v>657450</v>
      </c>
      <c r="S64" s="50">
        <v>46161</v>
      </c>
      <c r="T64" s="51">
        <v>517.96190000000001</v>
      </c>
      <c r="U64" s="51">
        <f t="shared" si="5"/>
        <v>9.6532196673152981</v>
      </c>
      <c r="V64" s="45">
        <v>5273.62</v>
      </c>
      <c r="W64" s="53">
        <v>121663</v>
      </c>
      <c r="X64" s="50">
        <v>46190</v>
      </c>
      <c r="Y64" s="51">
        <v>596.78240000000005</v>
      </c>
      <c r="Z64" s="51">
        <f t="shared" si="6"/>
        <v>8.8367552394306532</v>
      </c>
      <c r="AA64" s="53"/>
      <c r="AB64" s="53"/>
      <c r="AC64" s="53"/>
      <c r="AD64" s="51"/>
      <c r="AE64" s="51"/>
      <c r="AF64" s="53"/>
      <c r="AG64" s="53"/>
      <c r="AH64" s="53"/>
      <c r="AI64" s="51"/>
      <c r="AJ64" s="51"/>
      <c r="AK64" s="53"/>
      <c r="AL64" s="53"/>
      <c r="AM64" s="53"/>
      <c r="AN64" s="51"/>
      <c r="AO64" s="51"/>
      <c r="AP64" s="53"/>
      <c r="AQ64" s="53"/>
      <c r="AR64" s="53"/>
      <c r="AS64" s="51"/>
      <c r="AT64" s="51"/>
      <c r="AU64" s="53"/>
      <c r="AV64" s="53"/>
      <c r="AW64" s="53"/>
      <c r="AX64" s="51"/>
      <c r="AY64" s="51">
        <f t="shared" si="15"/>
        <v>0</v>
      </c>
      <c r="AZ64" s="55"/>
      <c r="BA64" s="55"/>
      <c r="BB64" s="55"/>
      <c r="BC64" s="51"/>
      <c r="BD64" s="51"/>
    </row>
    <row r="65" spans="1:56" ht="14.4" x14ac:dyDescent="0.3">
      <c r="A65" s="42">
        <v>64</v>
      </c>
      <c r="B65" s="2">
        <v>13971</v>
      </c>
      <c r="C65" s="53" t="s">
        <v>58</v>
      </c>
      <c r="D65" s="51">
        <v>182076.2</v>
      </c>
      <c r="E65" s="51">
        <f t="shared" si="9"/>
        <v>431.5931448076422</v>
      </c>
      <c r="F65" s="51">
        <f t="shared" si="2"/>
        <v>107.89828620191055</v>
      </c>
      <c r="G65" s="50">
        <v>46111</v>
      </c>
      <c r="H65" s="70">
        <v>421.87</v>
      </c>
      <c r="I65" s="2">
        <v>17274642</v>
      </c>
      <c r="J65" s="49">
        <f t="shared" si="3"/>
        <v>84513.15499999997</v>
      </c>
      <c r="K65" s="49">
        <f t="shared" si="14"/>
        <v>97563.045000000042</v>
      </c>
      <c r="L65" s="51">
        <v>53668.56</v>
      </c>
      <c r="M65" s="24">
        <v>901950</v>
      </c>
      <c r="N65" s="50">
        <v>46108</v>
      </c>
      <c r="O65" s="51">
        <v>468.51</v>
      </c>
      <c r="P65" s="51">
        <f t="shared" si="4"/>
        <v>114.55157840814496</v>
      </c>
      <c r="Q65" s="31">
        <v>9386.8050000000003</v>
      </c>
      <c r="R65" s="2">
        <v>603000477</v>
      </c>
      <c r="S65" s="3">
        <v>46112</v>
      </c>
      <c r="T65" s="51">
        <v>472.05459999999999</v>
      </c>
      <c r="U65" s="51">
        <f t="shared" si="5"/>
        <v>19.884998472634312</v>
      </c>
      <c r="V65" s="2">
        <v>10728.89499999999</v>
      </c>
      <c r="W65" s="2">
        <v>604000300</v>
      </c>
      <c r="X65" s="50">
        <v>46147</v>
      </c>
      <c r="Y65" s="51">
        <v>490.04419999999999</v>
      </c>
      <c r="Z65" s="51">
        <f t="shared" si="6"/>
        <v>21.893729177898624</v>
      </c>
      <c r="AA65" s="2">
        <v>10728.89499999999</v>
      </c>
      <c r="AB65" s="2">
        <v>604000300</v>
      </c>
      <c r="AC65" s="50">
        <v>46147</v>
      </c>
      <c r="AD65" s="51">
        <v>490.04419999999999</v>
      </c>
      <c r="AE65" s="51">
        <f t="shared" si="7"/>
        <v>21.893729177898624</v>
      </c>
      <c r="AF65" s="53"/>
      <c r="AG65" s="53"/>
      <c r="AH65" s="53"/>
      <c r="AI65" s="51"/>
      <c r="AJ65" s="51"/>
      <c r="AK65" s="53"/>
      <c r="AL65" s="53"/>
      <c r="AM65" s="53"/>
      <c r="AN65" s="51"/>
      <c r="AO65" s="51"/>
      <c r="AP65" s="53"/>
      <c r="AQ65" s="53"/>
      <c r="AR65" s="53"/>
      <c r="AS65" s="51"/>
      <c r="AT65" s="51"/>
      <c r="AU65" s="53"/>
      <c r="AV65" s="53"/>
      <c r="AW65" s="53"/>
      <c r="AX65" s="51"/>
      <c r="AY65" s="51">
        <f t="shared" si="15"/>
        <v>0</v>
      </c>
      <c r="AZ65" s="55"/>
      <c r="BA65" s="55"/>
      <c r="BB65" s="55"/>
      <c r="BC65" s="51"/>
      <c r="BD65" s="51"/>
    </row>
    <row r="66" spans="1:56" ht="14.4" x14ac:dyDescent="0.3">
      <c r="A66" s="42">
        <v>65</v>
      </c>
      <c r="B66" s="2">
        <v>14044</v>
      </c>
      <c r="C66" s="53" t="s">
        <v>59</v>
      </c>
      <c r="D66" s="47">
        <v>377904.3</v>
      </c>
      <c r="E66" s="51"/>
      <c r="F66" s="51"/>
      <c r="G66" s="50">
        <v>46121</v>
      </c>
      <c r="H66" s="70">
        <v>0</v>
      </c>
      <c r="I66" s="2">
        <v>15550662</v>
      </c>
      <c r="J66" s="49">
        <f t="shared" si="3"/>
        <v>158713.9</v>
      </c>
      <c r="K66" s="49">
        <f t="shared" ref="K66:K97" si="16">D66-J66</f>
        <v>219190.39999999999</v>
      </c>
      <c r="L66" s="31">
        <v>113412.67</v>
      </c>
      <c r="M66" s="24">
        <v>1701</v>
      </c>
      <c r="N66" s="50">
        <v>46119</v>
      </c>
      <c r="O66" s="51">
        <v>474.53379999999999</v>
      </c>
      <c r="P66" s="51">
        <f t="shared" si="4"/>
        <v>238.99808612157869</v>
      </c>
      <c r="Q66" s="51">
        <v>45301.23</v>
      </c>
      <c r="R66" s="44">
        <v>886888</v>
      </c>
      <c r="S66" s="50">
        <v>46142</v>
      </c>
      <c r="T66" s="51">
        <v>489.55</v>
      </c>
      <c r="U66" s="51">
        <f t="shared" si="5"/>
        <v>92.536472270452464</v>
      </c>
      <c r="V66" s="22"/>
      <c r="W66" s="53"/>
      <c r="X66" s="2"/>
      <c r="Y66" s="51"/>
      <c r="Z66" s="51"/>
      <c r="AA66" s="53"/>
      <c r="AB66" s="53"/>
      <c r="AC66" s="53"/>
      <c r="AD66" s="51"/>
      <c r="AE66" s="51"/>
      <c r="AF66" s="53"/>
      <c r="AG66" s="53"/>
      <c r="AH66" s="53"/>
      <c r="AI66" s="51"/>
      <c r="AJ66" s="51"/>
      <c r="AK66" s="53"/>
      <c r="AL66" s="53"/>
      <c r="AM66" s="53"/>
      <c r="AN66" s="51"/>
      <c r="AO66" s="51"/>
      <c r="AP66" s="53"/>
      <c r="AQ66" s="53"/>
      <c r="AR66" s="53"/>
      <c r="AS66" s="51"/>
      <c r="AT66" s="51"/>
      <c r="AU66" s="53"/>
      <c r="AV66" s="53"/>
      <c r="AW66" s="53"/>
      <c r="AX66" s="51"/>
      <c r="AY66" s="51">
        <f t="shared" ref="AY66:AY97" si="17">AU66/A66</f>
        <v>0</v>
      </c>
      <c r="AZ66" s="55"/>
      <c r="BA66" s="55"/>
      <c r="BB66" s="55"/>
      <c r="BC66" s="51"/>
      <c r="BD66" s="51"/>
    </row>
    <row r="67" spans="1:56" ht="14.4" x14ac:dyDescent="0.3">
      <c r="A67" s="42">
        <v>66</v>
      </c>
      <c r="B67" s="2">
        <v>14182</v>
      </c>
      <c r="C67" s="53" t="s">
        <v>60</v>
      </c>
      <c r="D67" s="25">
        <v>146876.22</v>
      </c>
      <c r="E67" s="51">
        <f t="shared" si="9"/>
        <v>302.69707811900088</v>
      </c>
      <c r="F67" s="51">
        <f t="shared" ref="F67:F129" si="18">E67/4</f>
        <v>75.674269529750219</v>
      </c>
      <c r="G67" s="50">
        <v>46140</v>
      </c>
      <c r="H67" s="70">
        <v>485.2251</v>
      </c>
      <c r="I67" s="2">
        <v>27319845</v>
      </c>
      <c r="J67" s="49">
        <f t="shared" ref="J67:J130" si="19">L67+Q67+V67+AA67+AF67+AK67+AP67+AU67+AZ67+BE67+BJ67</f>
        <v>89385.87</v>
      </c>
      <c r="K67" s="49">
        <f t="shared" si="16"/>
        <v>57490.350000000006</v>
      </c>
      <c r="L67" s="51">
        <v>4412.25</v>
      </c>
      <c r="M67" s="44">
        <v>421743</v>
      </c>
      <c r="N67" s="50">
        <v>46139</v>
      </c>
      <c r="O67" s="51">
        <v>484.74040000000002</v>
      </c>
      <c r="P67" s="51">
        <f t="shared" ref="P67:P131" si="20">L67/O67</f>
        <v>9.1022947540580486</v>
      </c>
      <c r="Q67" s="14">
        <v>26525</v>
      </c>
      <c r="R67" s="38">
        <v>298836</v>
      </c>
      <c r="S67" s="12">
        <v>46154</v>
      </c>
      <c r="T67" s="51">
        <v>504.53050000000002</v>
      </c>
      <c r="U67" s="51">
        <f t="shared" ref="U67:U131" si="21">Q67/T67</f>
        <v>52.573630335529764</v>
      </c>
      <c r="V67" s="14">
        <v>26525</v>
      </c>
      <c r="W67" s="38">
        <v>298836</v>
      </c>
      <c r="X67" s="12">
        <v>46154</v>
      </c>
      <c r="Y67" s="51">
        <v>504.53050000000002</v>
      </c>
      <c r="Z67" s="51">
        <f t="shared" ref="Z67:Z128" si="22">V67/Y67</f>
        <v>52.573630335529764</v>
      </c>
      <c r="AA67" s="45">
        <v>31923.62</v>
      </c>
      <c r="AB67" s="52">
        <v>107488</v>
      </c>
      <c r="AC67" s="46">
        <v>46191</v>
      </c>
      <c r="AD67" s="51">
        <v>602.33240000000001</v>
      </c>
      <c r="AE67" s="51">
        <f t="shared" ref="AE67:AE89" si="23">AA67/AD67</f>
        <v>53.000004648596025</v>
      </c>
      <c r="AF67" s="55"/>
      <c r="AG67" s="53"/>
      <c r="AH67" s="53"/>
      <c r="AI67" s="51"/>
      <c r="AJ67" s="51"/>
      <c r="AK67" s="53"/>
      <c r="AL67" s="53"/>
      <c r="AM67" s="53"/>
      <c r="AN67" s="51"/>
      <c r="AO67" s="51"/>
      <c r="AP67" s="53"/>
      <c r="AQ67" s="53"/>
      <c r="AR67" s="53"/>
      <c r="AS67" s="51"/>
      <c r="AT67" s="51"/>
      <c r="AU67" s="53"/>
      <c r="AV67" s="53"/>
      <c r="AW67" s="53"/>
      <c r="AX67" s="51"/>
      <c r="AY67" s="51">
        <f t="shared" si="17"/>
        <v>0</v>
      </c>
      <c r="AZ67" s="55"/>
      <c r="BA67" s="55"/>
      <c r="BB67" s="55"/>
      <c r="BC67" s="51"/>
      <c r="BD67" s="51"/>
    </row>
    <row r="68" spans="1:56" ht="14.4" x14ac:dyDescent="0.3">
      <c r="A68" s="42">
        <v>67</v>
      </c>
      <c r="B68" s="2">
        <v>14183</v>
      </c>
      <c r="C68" s="53" t="s">
        <v>61</v>
      </c>
      <c r="D68" s="43">
        <v>136696.67000000001</v>
      </c>
      <c r="E68" s="51">
        <f t="shared" ref="E68:E129" si="24">D68/H68</f>
        <v>281.71805209582112</v>
      </c>
      <c r="F68" s="51">
        <f t="shared" si="18"/>
        <v>70.42951302395528</v>
      </c>
      <c r="G68" s="50">
        <v>46140</v>
      </c>
      <c r="H68" s="70">
        <v>485.2251</v>
      </c>
      <c r="I68" s="2">
        <v>19671438</v>
      </c>
      <c r="J68" s="49">
        <f t="shared" si="19"/>
        <v>41128.910000000003</v>
      </c>
      <c r="K68" s="49">
        <f t="shared" si="16"/>
        <v>95567.760000000009</v>
      </c>
      <c r="L68" s="51">
        <v>41128.910000000003</v>
      </c>
      <c r="M68" s="44">
        <v>519374</v>
      </c>
      <c r="N68" s="50">
        <v>46139</v>
      </c>
      <c r="O68" s="51">
        <v>484.74040000000002</v>
      </c>
      <c r="P68" s="51">
        <f t="shared" si="20"/>
        <v>84.847291457448151</v>
      </c>
      <c r="Q68" s="22"/>
      <c r="R68" s="2"/>
      <c r="S68" s="2"/>
      <c r="T68" s="51"/>
      <c r="U68" s="51"/>
      <c r="V68" s="22"/>
      <c r="W68" s="53"/>
      <c r="X68" s="2"/>
      <c r="Y68" s="51"/>
      <c r="Z68" s="51"/>
      <c r="AA68" s="53"/>
      <c r="AB68" s="53"/>
      <c r="AC68" s="53"/>
      <c r="AD68" s="51"/>
      <c r="AE68" s="51"/>
      <c r="AF68" s="53"/>
      <c r="AG68" s="53"/>
      <c r="AH68" s="53"/>
      <c r="AI68" s="51"/>
      <c r="AJ68" s="51"/>
      <c r="AK68" s="53"/>
      <c r="AL68" s="53"/>
      <c r="AM68" s="53"/>
      <c r="AN68" s="51"/>
      <c r="AO68" s="51"/>
      <c r="AP68" s="53"/>
      <c r="AQ68" s="53"/>
      <c r="AR68" s="53"/>
      <c r="AS68" s="51"/>
      <c r="AT68" s="51"/>
      <c r="AU68" s="53"/>
      <c r="AV68" s="53"/>
      <c r="AW68" s="53"/>
      <c r="AX68" s="51"/>
      <c r="AY68" s="51">
        <f t="shared" si="17"/>
        <v>0</v>
      </c>
      <c r="AZ68" s="55"/>
      <c r="BA68" s="55"/>
      <c r="BB68" s="55"/>
      <c r="BC68" s="51"/>
      <c r="BD68" s="51"/>
    </row>
    <row r="69" spans="1:56" ht="14.4" x14ac:dyDescent="0.3">
      <c r="A69" s="42">
        <v>68</v>
      </c>
      <c r="B69" s="2">
        <v>14184</v>
      </c>
      <c r="C69" s="53" t="s">
        <v>62</v>
      </c>
      <c r="D69" s="43">
        <v>30053.88</v>
      </c>
      <c r="E69" s="51">
        <f t="shared" si="24"/>
        <v>61.938015984746052</v>
      </c>
      <c r="F69" s="51">
        <f t="shared" si="18"/>
        <v>15.484503996186513</v>
      </c>
      <c r="G69" s="50">
        <v>46140</v>
      </c>
      <c r="H69" s="70">
        <v>485.2251</v>
      </c>
      <c r="I69" s="2">
        <v>6863610</v>
      </c>
      <c r="J69" s="49">
        <f t="shared" si="19"/>
        <v>8907.48</v>
      </c>
      <c r="K69" s="49">
        <f t="shared" si="16"/>
        <v>21146.400000000001</v>
      </c>
      <c r="L69" s="51">
        <v>8907.48</v>
      </c>
      <c r="M69" s="44">
        <v>644991</v>
      </c>
      <c r="N69" s="50">
        <v>46136</v>
      </c>
      <c r="O69" s="51">
        <v>483.86950000000002</v>
      </c>
      <c r="P69" s="51">
        <f t="shared" si="20"/>
        <v>18.408847840171781</v>
      </c>
      <c r="Q69" s="30"/>
      <c r="R69" s="2"/>
      <c r="S69" s="2"/>
      <c r="T69" s="51"/>
      <c r="U69" s="51"/>
      <c r="V69" s="22"/>
      <c r="W69" s="53"/>
      <c r="X69" s="2"/>
      <c r="Y69" s="51"/>
      <c r="Z69" s="51"/>
      <c r="AA69" s="53"/>
      <c r="AB69" s="53"/>
      <c r="AC69" s="53"/>
      <c r="AD69" s="51"/>
      <c r="AE69" s="51"/>
      <c r="AF69" s="53"/>
      <c r="AG69" s="53"/>
      <c r="AH69" s="53"/>
      <c r="AI69" s="51"/>
      <c r="AJ69" s="51"/>
      <c r="AK69" s="53"/>
      <c r="AL69" s="53"/>
      <c r="AM69" s="53"/>
      <c r="AN69" s="51"/>
      <c r="AO69" s="51"/>
      <c r="AP69" s="53"/>
      <c r="AQ69" s="53"/>
      <c r="AR69" s="53"/>
      <c r="AS69" s="51"/>
      <c r="AT69" s="51"/>
      <c r="AU69" s="53"/>
      <c r="AV69" s="53"/>
      <c r="AW69" s="53"/>
      <c r="AX69" s="51"/>
      <c r="AY69" s="51">
        <f t="shared" si="17"/>
        <v>0</v>
      </c>
      <c r="AZ69" s="55"/>
      <c r="BA69" s="55"/>
      <c r="BB69" s="55"/>
      <c r="BC69" s="51"/>
      <c r="BD69" s="51"/>
    </row>
    <row r="70" spans="1:56" ht="14.4" x14ac:dyDescent="0.3">
      <c r="A70" s="42">
        <v>69</v>
      </c>
      <c r="B70" s="2">
        <v>14045</v>
      </c>
      <c r="C70" s="53" t="s">
        <v>63</v>
      </c>
      <c r="D70" s="51">
        <v>215692.74</v>
      </c>
      <c r="E70" s="51"/>
      <c r="F70" s="51"/>
      <c r="G70" s="50">
        <v>46121</v>
      </c>
      <c r="H70" s="70">
        <v>0</v>
      </c>
      <c r="I70" s="2">
        <v>11152240</v>
      </c>
      <c r="J70" s="49">
        <f t="shared" si="19"/>
        <v>64764.01</v>
      </c>
      <c r="K70" s="49">
        <f t="shared" si="16"/>
        <v>150928.72999999998</v>
      </c>
      <c r="L70" s="51">
        <v>64764.01</v>
      </c>
      <c r="M70" s="44">
        <v>76876758</v>
      </c>
      <c r="N70" s="50">
        <v>46139</v>
      </c>
      <c r="O70" s="51">
        <v>484.74040000000002</v>
      </c>
      <c r="P70" s="51">
        <f t="shared" si="20"/>
        <v>133.60555464326885</v>
      </c>
      <c r="Q70" s="51"/>
      <c r="R70" s="2"/>
      <c r="S70" s="2"/>
      <c r="T70" s="51"/>
      <c r="U70" s="51"/>
      <c r="V70" s="22"/>
      <c r="W70" s="53"/>
      <c r="X70" s="2"/>
      <c r="Y70" s="51"/>
      <c r="Z70" s="51"/>
      <c r="AA70" s="53"/>
      <c r="AB70" s="53"/>
      <c r="AC70" s="53"/>
      <c r="AD70" s="51"/>
      <c r="AE70" s="51"/>
      <c r="AF70" s="53"/>
      <c r="AG70" s="53"/>
      <c r="AH70" s="53"/>
      <c r="AI70" s="51"/>
      <c r="AJ70" s="51"/>
      <c r="AK70" s="53"/>
      <c r="AL70" s="53"/>
      <c r="AM70" s="53"/>
      <c r="AN70" s="51"/>
      <c r="AO70" s="51"/>
      <c r="AP70" s="53"/>
      <c r="AQ70" s="53"/>
      <c r="AR70" s="53"/>
      <c r="AS70" s="51"/>
      <c r="AT70" s="51"/>
      <c r="AU70" s="53"/>
      <c r="AV70" s="53"/>
      <c r="AW70" s="53"/>
      <c r="AX70" s="51"/>
      <c r="AY70" s="51">
        <f t="shared" si="17"/>
        <v>0</v>
      </c>
      <c r="AZ70" s="55"/>
      <c r="BA70" s="55"/>
      <c r="BB70" s="55"/>
      <c r="BC70" s="51"/>
      <c r="BD70" s="51"/>
    </row>
    <row r="71" spans="1:56" ht="14.4" x14ac:dyDescent="0.3">
      <c r="A71" s="42">
        <v>70</v>
      </c>
      <c r="B71" s="2">
        <v>14140</v>
      </c>
      <c r="C71" s="53" t="s">
        <v>125</v>
      </c>
      <c r="D71" s="51">
        <v>183444.99</v>
      </c>
      <c r="E71" s="51">
        <f t="shared" si="24"/>
        <v>380.16251795692654</v>
      </c>
      <c r="F71" s="51">
        <f t="shared" si="18"/>
        <v>95.040629489231634</v>
      </c>
      <c r="G71" s="50">
        <v>46134</v>
      </c>
      <c r="H71" s="70">
        <v>482.54360000000003</v>
      </c>
      <c r="I71" s="2">
        <v>26321193</v>
      </c>
      <c r="J71" s="49">
        <f t="shared" si="19"/>
        <v>54857.94</v>
      </c>
      <c r="K71" s="49">
        <f t="shared" si="16"/>
        <v>128587.04999999999</v>
      </c>
      <c r="L71" s="51">
        <v>52451.89</v>
      </c>
      <c r="M71" s="44">
        <v>285375</v>
      </c>
      <c r="N71" s="50">
        <v>46132</v>
      </c>
      <c r="O71" s="51">
        <v>481.21769999999998</v>
      </c>
      <c r="P71" s="51">
        <f t="shared" si="20"/>
        <v>108.9982558829403</v>
      </c>
      <c r="Q71" s="51">
        <v>2406.0500000000002</v>
      </c>
      <c r="R71" s="44">
        <v>326668</v>
      </c>
      <c r="S71" s="50">
        <v>46132</v>
      </c>
      <c r="T71" s="51">
        <v>481.21769999999998</v>
      </c>
      <c r="U71" s="51">
        <f t="shared" si="21"/>
        <v>4.9999199946302895</v>
      </c>
      <c r="V71" s="22"/>
      <c r="W71" s="53"/>
      <c r="X71" s="2"/>
      <c r="Y71" s="51"/>
      <c r="Z71" s="51"/>
      <c r="AA71" s="53"/>
      <c r="AB71" s="53"/>
      <c r="AC71" s="53"/>
      <c r="AD71" s="51"/>
      <c r="AE71" s="51"/>
      <c r="AF71" s="53"/>
      <c r="AG71" s="53"/>
      <c r="AH71" s="53"/>
      <c r="AI71" s="51"/>
      <c r="AJ71" s="51"/>
      <c r="AK71" s="53"/>
      <c r="AL71" s="53"/>
      <c r="AM71" s="53"/>
      <c r="AN71" s="51"/>
      <c r="AO71" s="51"/>
      <c r="AP71" s="53"/>
      <c r="AQ71" s="53"/>
      <c r="AR71" s="53"/>
      <c r="AS71" s="51"/>
      <c r="AT71" s="51"/>
      <c r="AU71" s="53"/>
      <c r="AV71" s="53"/>
      <c r="AW71" s="53"/>
      <c r="AX71" s="51"/>
      <c r="AY71" s="51">
        <f t="shared" si="17"/>
        <v>0</v>
      </c>
      <c r="AZ71" s="55"/>
      <c r="BA71" s="55"/>
      <c r="BB71" s="55"/>
      <c r="BC71" s="51"/>
      <c r="BD71" s="51"/>
    </row>
    <row r="72" spans="1:56" ht="14.4" x14ac:dyDescent="0.3">
      <c r="A72" s="42">
        <v>71</v>
      </c>
      <c r="B72" s="2">
        <v>14139</v>
      </c>
      <c r="C72" s="53" t="s">
        <v>64</v>
      </c>
      <c r="D72" s="16">
        <v>129377</v>
      </c>
      <c r="E72" s="51">
        <f t="shared" si="24"/>
        <v>268.11463254304897</v>
      </c>
      <c r="F72" s="51">
        <f t="shared" si="18"/>
        <v>67.028658135762242</v>
      </c>
      <c r="G72" s="50">
        <v>46134</v>
      </c>
      <c r="H72" s="70">
        <v>482.54360000000003</v>
      </c>
      <c r="I72" s="2">
        <v>19334015</v>
      </c>
      <c r="J72" s="49">
        <f t="shared" si="19"/>
        <v>84039.9</v>
      </c>
      <c r="K72" s="49">
        <f t="shared" si="16"/>
        <v>45337.100000000006</v>
      </c>
      <c r="L72" s="51">
        <v>38496.080000000002</v>
      </c>
      <c r="M72" s="44">
        <v>898889</v>
      </c>
      <c r="N72" s="50">
        <v>46132</v>
      </c>
      <c r="O72" s="51">
        <v>481.21769999999998</v>
      </c>
      <c r="P72" s="51">
        <f t="shared" si="20"/>
        <v>79.997223709767951</v>
      </c>
      <c r="Q72" s="14">
        <v>24213.46</v>
      </c>
      <c r="R72" s="38">
        <v>416157</v>
      </c>
      <c r="S72" s="12">
        <v>46161</v>
      </c>
      <c r="T72" s="51">
        <v>517.96190000000001</v>
      </c>
      <c r="U72" s="51">
        <f t="shared" si="21"/>
        <v>46.747569657150457</v>
      </c>
      <c r="V72" s="45">
        <v>21330.36</v>
      </c>
      <c r="W72" s="52">
        <v>141569</v>
      </c>
      <c r="X72" s="46">
        <v>46190</v>
      </c>
      <c r="Y72" s="51">
        <v>596.78240000000005</v>
      </c>
      <c r="Z72" s="51">
        <f t="shared" si="22"/>
        <v>35.742273900838896</v>
      </c>
      <c r="AA72" s="55"/>
      <c r="AB72" s="53"/>
      <c r="AC72" s="53"/>
      <c r="AD72" s="51"/>
      <c r="AE72" s="51"/>
      <c r="AF72" s="53"/>
      <c r="AG72" s="53"/>
      <c r="AH72" s="53"/>
      <c r="AI72" s="51"/>
      <c r="AJ72" s="51"/>
      <c r="AK72" s="53"/>
      <c r="AL72" s="53"/>
      <c r="AM72" s="53"/>
      <c r="AN72" s="51"/>
      <c r="AO72" s="51"/>
      <c r="AP72" s="53"/>
      <c r="AQ72" s="53"/>
      <c r="AR72" s="53"/>
      <c r="AS72" s="51"/>
      <c r="AT72" s="51"/>
      <c r="AU72" s="53"/>
      <c r="AV72" s="53"/>
      <c r="AW72" s="53"/>
      <c r="AX72" s="51"/>
      <c r="AY72" s="51">
        <f t="shared" si="17"/>
        <v>0</v>
      </c>
      <c r="AZ72" s="55"/>
      <c r="BA72" s="55"/>
      <c r="BB72" s="55"/>
      <c r="BC72" s="51"/>
      <c r="BD72" s="51"/>
    </row>
    <row r="73" spans="1:56" ht="14.4" x14ac:dyDescent="0.3">
      <c r="A73" s="42">
        <v>72</v>
      </c>
      <c r="B73" s="2">
        <v>14138</v>
      </c>
      <c r="C73" s="53" t="s">
        <v>126</v>
      </c>
      <c r="D73" s="45">
        <v>198410.25</v>
      </c>
      <c r="E73" s="51">
        <f t="shared" si="24"/>
        <v>411.1757984148997</v>
      </c>
      <c r="F73" s="51">
        <f t="shared" si="18"/>
        <v>102.79394960372493</v>
      </c>
      <c r="G73" s="50">
        <v>46134</v>
      </c>
      <c r="H73" s="70">
        <v>482.54360000000003</v>
      </c>
      <c r="I73" s="2">
        <v>20892033</v>
      </c>
      <c r="J73" s="49">
        <f t="shared" si="19"/>
        <v>95374.5</v>
      </c>
      <c r="K73" s="49">
        <f t="shared" si="16"/>
        <v>103035.75</v>
      </c>
      <c r="L73" s="51">
        <v>72412.5</v>
      </c>
      <c r="M73" s="44">
        <v>893835</v>
      </c>
      <c r="N73" s="50">
        <v>46134</v>
      </c>
      <c r="O73" s="51">
        <v>482.54360000000003</v>
      </c>
      <c r="P73" s="51">
        <f t="shared" si="20"/>
        <v>150.06416000543786</v>
      </c>
      <c r="Q73" s="45">
        <v>2214.16</v>
      </c>
      <c r="R73" s="2">
        <v>605000345</v>
      </c>
      <c r="S73" s="5">
        <v>46171</v>
      </c>
      <c r="T73" s="51">
        <v>547.04100000000005</v>
      </c>
      <c r="U73" s="51">
        <f t="shared" si="21"/>
        <v>4.0475211181611606</v>
      </c>
      <c r="V73" s="66">
        <v>15563.46</v>
      </c>
      <c r="W73" s="2">
        <v>605000344</v>
      </c>
      <c r="X73" s="5">
        <v>46171</v>
      </c>
      <c r="Y73" s="51">
        <v>547.04100000000005</v>
      </c>
      <c r="Z73" s="51">
        <f t="shared" si="22"/>
        <v>28.450262411775348</v>
      </c>
      <c r="AA73" s="51">
        <v>5184.38</v>
      </c>
      <c r="AB73" s="34">
        <v>606000327</v>
      </c>
      <c r="AC73" s="3">
        <v>46203</v>
      </c>
      <c r="AD73" s="51">
        <v>623.02229999999997</v>
      </c>
      <c r="AE73" s="51">
        <f t="shared" si="23"/>
        <v>8.3213393806289115</v>
      </c>
      <c r="AF73" s="55"/>
      <c r="AG73" s="53"/>
      <c r="AH73" s="53"/>
      <c r="AI73" s="51"/>
      <c r="AJ73" s="51"/>
      <c r="AK73" s="53"/>
      <c r="AL73" s="53"/>
      <c r="AM73" s="53"/>
      <c r="AN73" s="51"/>
      <c r="AO73" s="51"/>
      <c r="AP73" s="53"/>
      <c r="AQ73" s="53"/>
      <c r="AR73" s="53"/>
      <c r="AS73" s="51"/>
      <c r="AT73" s="51"/>
      <c r="AU73" s="53"/>
      <c r="AV73" s="53"/>
      <c r="AW73" s="53"/>
      <c r="AX73" s="51"/>
      <c r="AY73" s="51">
        <f t="shared" si="17"/>
        <v>0</v>
      </c>
      <c r="AZ73" s="55"/>
      <c r="BA73" s="55"/>
      <c r="BB73" s="55"/>
      <c r="BC73" s="51"/>
      <c r="BD73" s="51"/>
    </row>
    <row r="74" spans="1:56" ht="14.4" x14ac:dyDescent="0.3">
      <c r="A74" s="42">
        <v>73</v>
      </c>
      <c r="B74" s="2">
        <v>14095</v>
      </c>
      <c r="C74" s="53" t="s">
        <v>65</v>
      </c>
      <c r="D74" s="51">
        <v>108272.24</v>
      </c>
      <c r="E74" s="51">
        <f t="shared" si="24"/>
        <v>224.99637897774753</v>
      </c>
      <c r="F74" s="51">
        <f t="shared" si="18"/>
        <v>56.249094744436881</v>
      </c>
      <c r="G74" s="50">
        <v>46132</v>
      </c>
      <c r="H74" s="70">
        <v>481.21769999999998</v>
      </c>
      <c r="I74" s="2">
        <v>22014189</v>
      </c>
      <c r="J74" s="49">
        <f t="shared" si="19"/>
        <v>56513</v>
      </c>
      <c r="K74" s="49">
        <f t="shared" si="16"/>
        <v>51759.240000000005</v>
      </c>
      <c r="L74" s="51">
        <v>31600</v>
      </c>
      <c r="M74" s="40">
        <v>197418</v>
      </c>
      <c r="N74" s="50">
        <v>46129</v>
      </c>
      <c r="O74" s="51">
        <v>480.25720000000001</v>
      </c>
      <c r="P74" s="51">
        <f t="shared" si="20"/>
        <v>65.798076530658989</v>
      </c>
      <c r="Q74" s="51">
        <v>820</v>
      </c>
      <c r="R74" s="44">
        <v>736896</v>
      </c>
      <c r="S74" s="50">
        <v>46129</v>
      </c>
      <c r="T74" s="51">
        <v>480.25720000000001</v>
      </c>
      <c r="U74" s="51">
        <f t="shared" si="21"/>
        <v>1.7074184416183662</v>
      </c>
      <c r="V74" s="45">
        <v>24093</v>
      </c>
      <c r="W74" s="52">
        <v>333233</v>
      </c>
      <c r="X74" s="46">
        <v>46191</v>
      </c>
      <c r="Y74" s="51">
        <v>602.33240000000001</v>
      </c>
      <c r="Z74" s="51">
        <f t="shared" si="22"/>
        <v>39.999508576991708</v>
      </c>
      <c r="AA74" s="55"/>
      <c r="AB74" s="53"/>
      <c r="AC74" s="53"/>
      <c r="AD74" s="51"/>
      <c r="AE74" s="51"/>
      <c r="AF74" s="53"/>
      <c r="AG74" s="53"/>
      <c r="AH74" s="53"/>
      <c r="AI74" s="51"/>
      <c r="AJ74" s="51"/>
      <c r="AK74" s="53"/>
      <c r="AL74" s="53"/>
      <c r="AM74" s="53"/>
      <c r="AN74" s="51"/>
      <c r="AO74" s="51"/>
      <c r="AP74" s="53"/>
      <c r="AQ74" s="53"/>
      <c r="AR74" s="53"/>
      <c r="AS74" s="51"/>
      <c r="AT74" s="51"/>
      <c r="AU74" s="53"/>
      <c r="AV74" s="53"/>
      <c r="AW74" s="53"/>
      <c r="AX74" s="51"/>
      <c r="AY74" s="51">
        <f t="shared" si="17"/>
        <v>0</v>
      </c>
      <c r="AZ74" s="55"/>
      <c r="BA74" s="55"/>
      <c r="BB74" s="55"/>
      <c r="BC74" s="51"/>
      <c r="BD74" s="51"/>
    </row>
    <row r="75" spans="1:56" ht="14.4" x14ac:dyDescent="0.3">
      <c r="A75" s="42">
        <v>74</v>
      </c>
      <c r="B75" s="2">
        <v>13848</v>
      </c>
      <c r="C75" s="78" t="s">
        <v>127</v>
      </c>
      <c r="D75" s="51">
        <v>77296.399999999994</v>
      </c>
      <c r="E75" s="51"/>
      <c r="F75" s="51"/>
      <c r="G75" s="50">
        <v>46101</v>
      </c>
      <c r="H75" s="70">
        <v>0</v>
      </c>
      <c r="I75" s="2">
        <v>31664422</v>
      </c>
      <c r="J75" s="49">
        <f t="shared" si="19"/>
        <v>24060.5</v>
      </c>
      <c r="K75" s="49">
        <f t="shared" si="16"/>
        <v>53235.899999999994</v>
      </c>
      <c r="L75" s="51">
        <v>24060.5</v>
      </c>
      <c r="M75" s="44">
        <v>366466</v>
      </c>
      <c r="N75" s="50">
        <v>46132</v>
      </c>
      <c r="O75" s="51">
        <v>481.21769999999998</v>
      </c>
      <c r="P75" s="51">
        <f t="shared" si="20"/>
        <v>49.999199946302895</v>
      </c>
      <c r="Q75" s="51"/>
      <c r="R75" s="51"/>
      <c r="S75" s="2"/>
      <c r="T75" s="51"/>
      <c r="U75" s="51"/>
      <c r="V75" s="22"/>
      <c r="W75" s="53"/>
      <c r="X75" s="2"/>
      <c r="Y75" s="51"/>
      <c r="Z75" s="51"/>
      <c r="AA75" s="53"/>
      <c r="AB75" s="53"/>
      <c r="AC75" s="53"/>
      <c r="AD75" s="51"/>
      <c r="AE75" s="51"/>
      <c r="AF75" s="53"/>
      <c r="AG75" s="53"/>
      <c r="AH75" s="53"/>
      <c r="AI75" s="51"/>
      <c r="AJ75" s="51"/>
      <c r="AK75" s="53"/>
      <c r="AL75" s="53"/>
      <c r="AM75" s="53"/>
      <c r="AN75" s="51"/>
      <c r="AO75" s="51"/>
      <c r="AP75" s="53"/>
      <c r="AQ75" s="53"/>
      <c r="AR75" s="53"/>
      <c r="AS75" s="51"/>
      <c r="AT75" s="51"/>
      <c r="AU75" s="53"/>
      <c r="AV75" s="53"/>
      <c r="AW75" s="53"/>
      <c r="AX75" s="51"/>
      <c r="AY75" s="51">
        <f t="shared" si="17"/>
        <v>0</v>
      </c>
      <c r="AZ75" s="55"/>
      <c r="BA75" s="55"/>
      <c r="BB75" s="55"/>
      <c r="BC75" s="51"/>
      <c r="BD75" s="51"/>
    </row>
    <row r="76" spans="1:56" ht="14.4" x14ac:dyDescent="0.3">
      <c r="A76" s="42">
        <v>75</v>
      </c>
      <c r="B76" s="2">
        <v>13972</v>
      </c>
      <c r="C76" s="53" t="s">
        <v>66</v>
      </c>
      <c r="D76" s="51">
        <v>242453.8</v>
      </c>
      <c r="E76" s="51">
        <f t="shared" si="24"/>
        <v>574.71211510654939</v>
      </c>
      <c r="F76" s="51">
        <f t="shared" si="18"/>
        <v>143.67802877663735</v>
      </c>
      <c r="G76" s="50">
        <v>46111</v>
      </c>
      <c r="H76" s="70">
        <v>421.87</v>
      </c>
      <c r="I76" s="2">
        <v>12501930</v>
      </c>
      <c r="J76" s="49">
        <f t="shared" si="19"/>
        <v>62076.09</v>
      </c>
      <c r="K76" s="49">
        <f t="shared" si="16"/>
        <v>180377.71</v>
      </c>
      <c r="L76" s="51">
        <v>62076.09</v>
      </c>
      <c r="M76" s="44">
        <v>994892</v>
      </c>
      <c r="N76" s="50">
        <v>46132</v>
      </c>
      <c r="O76" s="51">
        <v>481.21769999999998</v>
      </c>
      <c r="P76" s="51">
        <f t="shared" si="20"/>
        <v>128.99793586146146</v>
      </c>
      <c r="Q76" s="51"/>
      <c r="R76" s="2"/>
      <c r="S76" s="2"/>
      <c r="T76" s="51"/>
      <c r="U76" s="51"/>
      <c r="V76" s="22"/>
      <c r="W76" s="53"/>
      <c r="X76" s="2"/>
      <c r="Y76" s="51"/>
      <c r="Z76" s="51"/>
      <c r="AA76" s="53"/>
      <c r="AB76" s="53"/>
      <c r="AC76" s="53"/>
      <c r="AD76" s="51"/>
      <c r="AE76" s="51"/>
      <c r="AF76" s="53"/>
      <c r="AG76" s="53"/>
      <c r="AH76" s="53"/>
      <c r="AI76" s="51"/>
      <c r="AJ76" s="51"/>
      <c r="AK76" s="53"/>
      <c r="AL76" s="53"/>
      <c r="AM76" s="53"/>
      <c r="AN76" s="51"/>
      <c r="AO76" s="51"/>
      <c r="AP76" s="53"/>
      <c r="AQ76" s="53"/>
      <c r="AR76" s="53"/>
      <c r="AS76" s="51"/>
      <c r="AT76" s="51"/>
      <c r="AU76" s="53"/>
      <c r="AV76" s="53"/>
      <c r="AW76" s="53"/>
      <c r="AX76" s="51"/>
      <c r="AY76" s="51">
        <f t="shared" si="17"/>
        <v>0</v>
      </c>
      <c r="AZ76" s="55"/>
      <c r="BA76" s="55"/>
      <c r="BB76" s="55"/>
      <c r="BC76" s="51"/>
      <c r="BD76" s="51"/>
    </row>
    <row r="77" spans="1:56" ht="14.4" x14ac:dyDescent="0.3">
      <c r="A77" s="42">
        <v>76</v>
      </c>
      <c r="B77" s="2">
        <v>14052</v>
      </c>
      <c r="C77" s="53" t="s">
        <v>67</v>
      </c>
      <c r="D77" s="14">
        <v>29538.66</v>
      </c>
      <c r="E77" s="51"/>
      <c r="F77" s="51"/>
      <c r="G77" s="50">
        <v>46125</v>
      </c>
      <c r="H77" s="70">
        <v>0</v>
      </c>
      <c r="I77" s="2">
        <v>30165064</v>
      </c>
      <c r="J77" s="49">
        <f t="shared" si="19"/>
        <v>14301.35</v>
      </c>
      <c r="K77" s="49">
        <f t="shared" si="16"/>
        <v>15237.31</v>
      </c>
      <c r="L77" s="51">
        <v>9124.75</v>
      </c>
      <c r="M77" s="44">
        <v>871155</v>
      </c>
      <c r="N77" s="50">
        <v>46132</v>
      </c>
      <c r="O77" s="51">
        <v>481.21769999999998</v>
      </c>
      <c r="P77" s="51">
        <f t="shared" si="20"/>
        <v>18.96179213690602</v>
      </c>
      <c r="Q77" s="14">
        <v>5176.6000000000004</v>
      </c>
      <c r="R77" s="38">
        <v>823740</v>
      </c>
      <c r="S77" s="12">
        <v>46161</v>
      </c>
      <c r="T77" s="51">
        <v>517.96190000000001</v>
      </c>
      <c r="U77" s="51">
        <f t="shared" si="21"/>
        <v>9.9941713859648758</v>
      </c>
      <c r="V77" s="22"/>
      <c r="W77" s="53"/>
      <c r="X77" s="2"/>
      <c r="Y77" s="51"/>
      <c r="Z77" s="51"/>
      <c r="AA77" s="53"/>
      <c r="AB77" s="53"/>
      <c r="AC77" s="53"/>
      <c r="AD77" s="51"/>
      <c r="AE77" s="51"/>
      <c r="AF77" s="53"/>
      <c r="AG77" s="53"/>
      <c r="AH77" s="53"/>
      <c r="AI77" s="51"/>
      <c r="AJ77" s="51"/>
      <c r="AK77" s="53"/>
      <c r="AL77" s="53"/>
      <c r="AM77" s="53"/>
      <c r="AN77" s="51"/>
      <c r="AO77" s="51"/>
      <c r="AP77" s="53"/>
      <c r="AQ77" s="53"/>
      <c r="AR77" s="53"/>
      <c r="AS77" s="51"/>
      <c r="AT77" s="51"/>
      <c r="AU77" s="53"/>
      <c r="AV77" s="53"/>
      <c r="AW77" s="53"/>
      <c r="AX77" s="51"/>
      <c r="AY77" s="51">
        <f t="shared" si="17"/>
        <v>0</v>
      </c>
      <c r="AZ77" s="55"/>
      <c r="BA77" s="55"/>
      <c r="BB77" s="55"/>
      <c r="BC77" s="51"/>
      <c r="BD77" s="51"/>
    </row>
    <row r="78" spans="1:56" ht="14.4" x14ac:dyDescent="0.3">
      <c r="A78" s="42">
        <v>77</v>
      </c>
      <c r="B78" s="2">
        <v>14091</v>
      </c>
      <c r="C78" s="53" t="s">
        <v>68</v>
      </c>
      <c r="D78" s="51">
        <v>57745.19</v>
      </c>
      <c r="E78" s="51">
        <f t="shared" si="24"/>
        <v>119.99805909051143</v>
      </c>
      <c r="F78" s="51">
        <f t="shared" si="18"/>
        <v>29.999514772627858</v>
      </c>
      <c r="G78" s="50">
        <v>46132</v>
      </c>
      <c r="H78" s="70">
        <v>481.21769999999998</v>
      </c>
      <c r="I78" s="2">
        <v>23621739</v>
      </c>
      <c r="J78" s="49">
        <f t="shared" si="19"/>
        <v>17663.890000000003</v>
      </c>
      <c r="K78" s="49">
        <f t="shared" si="16"/>
        <v>40081.300000000003</v>
      </c>
      <c r="L78" s="51">
        <v>17323.560000000001</v>
      </c>
      <c r="M78" s="2">
        <v>255166</v>
      </c>
      <c r="N78" s="50">
        <v>46132</v>
      </c>
      <c r="O78" s="51">
        <v>481.21769999999998</v>
      </c>
      <c r="P78" s="51">
        <f t="shared" si="20"/>
        <v>35.999423961338081</v>
      </c>
      <c r="Q78" s="2">
        <v>340.33</v>
      </c>
      <c r="R78" s="2">
        <v>604000300</v>
      </c>
      <c r="S78" s="50">
        <v>46147</v>
      </c>
      <c r="T78" s="51">
        <v>490.04419999999999</v>
      </c>
      <c r="U78" s="51">
        <f t="shared" si="21"/>
        <v>0.69448837472211689</v>
      </c>
      <c r="V78" s="22"/>
      <c r="W78" s="53"/>
      <c r="X78" s="2"/>
      <c r="Y78" s="51"/>
      <c r="Z78" s="51"/>
      <c r="AA78" s="53"/>
      <c r="AB78" s="53"/>
      <c r="AC78" s="53"/>
      <c r="AD78" s="51"/>
      <c r="AE78" s="51"/>
      <c r="AF78" s="53"/>
      <c r="AG78" s="53"/>
      <c r="AH78" s="53"/>
      <c r="AI78" s="51"/>
      <c r="AJ78" s="51"/>
      <c r="AK78" s="53"/>
      <c r="AL78" s="53"/>
      <c r="AM78" s="53"/>
      <c r="AN78" s="51"/>
      <c r="AO78" s="51"/>
      <c r="AP78" s="53"/>
      <c r="AQ78" s="53"/>
      <c r="AR78" s="53"/>
      <c r="AS78" s="51"/>
      <c r="AT78" s="51"/>
      <c r="AU78" s="53"/>
      <c r="AV78" s="53"/>
      <c r="AW78" s="53"/>
      <c r="AX78" s="51"/>
      <c r="AY78" s="51">
        <f t="shared" si="17"/>
        <v>0</v>
      </c>
      <c r="AZ78" s="55"/>
      <c r="BA78" s="55"/>
      <c r="BB78" s="55"/>
      <c r="BC78" s="51"/>
      <c r="BD78" s="51"/>
    </row>
    <row r="79" spans="1:56" ht="14.4" x14ac:dyDescent="0.3">
      <c r="A79" s="42">
        <v>78</v>
      </c>
      <c r="B79" s="2">
        <v>14094</v>
      </c>
      <c r="C79" s="53" t="s">
        <v>69</v>
      </c>
      <c r="D79" s="51">
        <v>496608.71</v>
      </c>
      <c r="E79" s="51">
        <f t="shared" si="24"/>
        <v>1031.9834661110763</v>
      </c>
      <c r="F79" s="51">
        <f t="shared" si="18"/>
        <v>257.99586652776907</v>
      </c>
      <c r="G79" s="50">
        <v>46132</v>
      </c>
      <c r="H79" s="70">
        <v>481.21769999999998</v>
      </c>
      <c r="I79" s="2">
        <v>13164057</v>
      </c>
      <c r="J79" s="49">
        <f t="shared" si="19"/>
        <v>243453.12000000002</v>
      </c>
      <c r="K79" s="49">
        <f t="shared" si="16"/>
        <v>253155.59</v>
      </c>
      <c r="L79" s="51">
        <v>149175.1</v>
      </c>
      <c r="M79" s="44">
        <v>131020</v>
      </c>
      <c r="N79" s="50">
        <v>46132</v>
      </c>
      <c r="O79" s="51">
        <v>481.21769999999998</v>
      </c>
      <c r="P79" s="51">
        <f t="shared" si="20"/>
        <v>309.99503966707795</v>
      </c>
      <c r="Q79" s="51">
        <v>87757.200000000012</v>
      </c>
      <c r="R79" s="2">
        <v>604000300</v>
      </c>
      <c r="S79" s="50">
        <v>46147</v>
      </c>
      <c r="T79" s="51">
        <v>490.04419999999999</v>
      </c>
      <c r="U79" s="51">
        <f t="shared" si="21"/>
        <v>179.08017276808911</v>
      </c>
      <c r="V79" s="66">
        <v>6520.82</v>
      </c>
      <c r="W79" s="2">
        <v>605000344</v>
      </c>
      <c r="X79" s="5">
        <v>46171</v>
      </c>
      <c r="Y79" s="51">
        <v>547.04100000000005</v>
      </c>
      <c r="Z79" s="51">
        <f t="shared" si="22"/>
        <v>11.920166861350427</v>
      </c>
      <c r="AA79" s="53"/>
      <c r="AB79" s="53"/>
      <c r="AC79" s="53"/>
      <c r="AD79" s="51"/>
      <c r="AE79" s="51"/>
      <c r="AF79" s="53"/>
      <c r="AG79" s="53"/>
      <c r="AH79" s="53"/>
      <c r="AI79" s="51"/>
      <c r="AJ79" s="51"/>
      <c r="AK79" s="53"/>
      <c r="AL79" s="53"/>
      <c r="AM79" s="53"/>
      <c r="AN79" s="51"/>
      <c r="AO79" s="51"/>
      <c r="AP79" s="53"/>
      <c r="AQ79" s="53"/>
      <c r="AR79" s="53"/>
      <c r="AS79" s="51"/>
      <c r="AT79" s="51"/>
      <c r="AU79" s="53"/>
      <c r="AV79" s="53"/>
      <c r="AW79" s="53"/>
      <c r="AX79" s="51"/>
      <c r="AY79" s="51">
        <f t="shared" si="17"/>
        <v>0</v>
      </c>
      <c r="AZ79" s="55"/>
      <c r="BA79" s="55"/>
      <c r="BB79" s="55"/>
      <c r="BC79" s="51"/>
      <c r="BD79" s="51"/>
    </row>
    <row r="80" spans="1:56" ht="14.4" x14ac:dyDescent="0.3">
      <c r="A80" s="42">
        <v>79</v>
      </c>
      <c r="B80" s="2">
        <v>14092</v>
      </c>
      <c r="C80" s="53" t="s">
        <v>70</v>
      </c>
      <c r="D80" s="51">
        <v>439344.72</v>
      </c>
      <c r="E80" s="51">
        <f t="shared" si="24"/>
        <v>912.98537023887525</v>
      </c>
      <c r="F80" s="51">
        <f t="shared" si="18"/>
        <v>228.24634255971881</v>
      </c>
      <c r="G80" s="50">
        <v>46132</v>
      </c>
      <c r="H80" s="70">
        <v>481.21769999999998</v>
      </c>
      <c r="I80" s="2">
        <v>13990023</v>
      </c>
      <c r="J80" s="49">
        <f t="shared" si="19"/>
        <v>142848.08000000002</v>
      </c>
      <c r="K80" s="49">
        <f t="shared" si="16"/>
        <v>296496.63999999996</v>
      </c>
      <c r="L80" s="51">
        <v>87405.5</v>
      </c>
      <c r="M80" s="44">
        <v>959172</v>
      </c>
      <c r="N80" s="50">
        <v>46132</v>
      </c>
      <c r="O80" s="51">
        <v>481.21769999999998</v>
      </c>
      <c r="P80" s="51">
        <f t="shared" si="20"/>
        <v>181.63400889036294</v>
      </c>
      <c r="Q80" s="51">
        <v>55442.58</v>
      </c>
      <c r="R80" s="24">
        <v>249209</v>
      </c>
      <c r="S80" s="5">
        <v>46174</v>
      </c>
      <c r="T80" s="51">
        <v>554.42579999999998</v>
      </c>
      <c r="U80" s="51">
        <f t="shared" si="21"/>
        <v>100</v>
      </c>
      <c r="V80" s="22"/>
      <c r="W80" s="53"/>
      <c r="X80" s="2"/>
      <c r="Y80" s="51"/>
      <c r="Z80" s="51"/>
      <c r="AA80" s="53"/>
      <c r="AB80" s="53"/>
      <c r="AC80" s="53"/>
      <c r="AD80" s="51"/>
      <c r="AE80" s="51"/>
      <c r="AF80" s="53"/>
      <c r="AG80" s="53"/>
      <c r="AH80" s="53"/>
      <c r="AI80" s="51"/>
      <c r="AJ80" s="51"/>
      <c r="AK80" s="53"/>
      <c r="AL80" s="53"/>
      <c r="AM80" s="53"/>
      <c r="AN80" s="51"/>
      <c r="AO80" s="51"/>
      <c r="AP80" s="53"/>
      <c r="AQ80" s="53"/>
      <c r="AR80" s="53"/>
      <c r="AS80" s="51"/>
      <c r="AT80" s="51"/>
      <c r="AU80" s="53"/>
      <c r="AV80" s="53"/>
      <c r="AW80" s="53"/>
      <c r="AX80" s="51"/>
      <c r="AY80" s="51">
        <f t="shared" si="17"/>
        <v>0</v>
      </c>
      <c r="AZ80" s="55"/>
      <c r="BA80" s="55"/>
      <c r="BB80" s="55"/>
      <c r="BC80" s="51"/>
      <c r="BD80" s="51"/>
    </row>
    <row r="81" spans="1:56" ht="14.4" x14ac:dyDescent="0.3">
      <c r="A81" s="42">
        <v>80</v>
      </c>
      <c r="B81" s="2">
        <v>14270</v>
      </c>
      <c r="C81" s="53" t="s">
        <v>71</v>
      </c>
      <c r="D81" s="51">
        <v>46142</v>
      </c>
      <c r="E81" s="51">
        <f t="shared" si="24"/>
        <v>94.253906648963337</v>
      </c>
      <c r="F81" s="51">
        <f t="shared" si="18"/>
        <v>23.563476662240834</v>
      </c>
      <c r="G81" s="50">
        <v>46142</v>
      </c>
      <c r="H81" s="70">
        <v>489.55</v>
      </c>
      <c r="I81" s="2">
        <v>23481875</v>
      </c>
      <c r="J81" s="49">
        <f t="shared" si="19"/>
        <v>198524.92</v>
      </c>
      <c r="K81" s="49">
        <f t="shared" si="16"/>
        <v>-152382.92000000001</v>
      </c>
      <c r="L81" s="51">
        <v>192149.14</v>
      </c>
      <c r="M81" s="44">
        <v>0</v>
      </c>
      <c r="N81" s="50">
        <v>46140</v>
      </c>
      <c r="O81" s="51">
        <v>485.2251</v>
      </c>
      <c r="P81" s="51">
        <f t="shared" si="20"/>
        <v>396.00000082435969</v>
      </c>
      <c r="Q81" s="14">
        <v>6370.52</v>
      </c>
      <c r="R81" s="38">
        <v>356087</v>
      </c>
      <c r="S81" s="12">
        <v>46147</v>
      </c>
      <c r="T81" s="51">
        <v>490.04419999999999</v>
      </c>
      <c r="U81" s="51">
        <f t="shared" si="21"/>
        <v>12.999888581478977</v>
      </c>
      <c r="V81" s="6">
        <v>5.26</v>
      </c>
      <c r="W81" s="53">
        <v>611405</v>
      </c>
      <c r="X81" s="50">
        <v>46192</v>
      </c>
      <c r="Y81" s="51">
        <v>605.39369999999997</v>
      </c>
      <c r="Z81" s="51">
        <f t="shared" si="22"/>
        <v>8.6885608489153422E-3</v>
      </c>
      <c r="AA81" s="53"/>
      <c r="AB81" s="53"/>
      <c r="AC81" s="53"/>
      <c r="AD81" s="51"/>
      <c r="AE81" s="51"/>
      <c r="AF81" s="53"/>
      <c r="AG81" s="53"/>
      <c r="AH81" s="53"/>
      <c r="AI81" s="51"/>
      <c r="AJ81" s="51"/>
      <c r="AK81" s="53"/>
      <c r="AL81" s="53"/>
      <c r="AM81" s="53"/>
      <c r="AN81" s="51"/>
      <c r="AO81" s="51"/>
      <c r="AP81" s="53"/>
      <c r="AQ81" s="53"/>
      <c r="AR81" s="53"/>
      <c r="AS81" s="51"/>
      <c r="AT81" s="51"/>
      <c r="AU81" s="53"/>
      <c r="AV81" s="53"/>
      <c r="AW81" s="53"/>
      <c r="AX81" s="51"/>
      <c r="AY81" s="51">
        <f t="shared" si="17"/>
        <v>0</v>
      </c>
      <c r="AZ81" s="55"/>
      <c r="BA81" s="55"/>
      <c r="BB81" s="55"/>
      <c r="BC81" s="51"/>
      <c r="BD81" s="51"/>
    </row>
    <row r="82" spans="1:56" ht="14.4" x14ac:dyDescent="0.3">
      <c r="A82" s="42">
        <v>81</v>
      </c>
      <c r="B82" s="2">
        <v>13687</v>
      </c>
      <c r="C82" s="53" t="s">
        <v>72</v>
      </c>
      <c r="D82" s="51">
        <v>178007.14</v>
      </c>
      <c r="E82" s="51">
        <f t="shared" si="24"/>
        <v>410.94401597169127</v>
      </c>
      <c r="F82" s="51">
        <f t="shared" si="18"/>
        <v>102.73600399292282</v>
      </c>
      <c r="G82" s="50">
        <v>46090</v>
      </c>
      <c r="H82" s="70">
        <v>433.16640000000001</v>
      </c>
      <c r="I82" s="2">
        <v>13533595</v>
      </c>
      <c r="J82" s="49">
        <f t="shared" si="19"/>
        <v>160746</v>
      </c>
      <c r="K82" s="49">
        <f t="shared" si="16"/>
        <v>17261.140000000014</v>
      </c>
      <c r="L82" s="51">
        <v>160746</v>
      </c>
      <c r="M82" s="44">
        <v>876580</v>
      </c>
      <c r="N82" s="50">
        <v>46142</v>
      </c>
      <c r="O82" s="51">
        <v>489.55</v>
      </c>
      <c r="P82" s="51">
        <f t="shared" si="20"/>
        <v>328.35461137779595</v>
      </c>
      <c r="Q82" s="22"/>
      <c r="R82" s="2"/>
      <c r="S82" s="2"/>
      <c r="T82" s="51"/>
      <c r="U82" s="51"/>
      <c r="V82" s="22"/>
      <c r="W82" s="53"/>
      <c r="X82" s="2"/>
      <c r="Y82" s="51"/>
      <c r="Z82" s="51"/>
      <c r="AA82" s="53"/>
      <c r="AB82" s="53"/>
      <c r="AC82" s="53"/>
      <c r="AD82" s="51"/>
      <c r="AE82" s="51"/>
      <c r="AF82" s="53"/>
      <c r="AG82" s="53"/>
      <c r="AH82" s="53"/>
      <c r="AI82" s="51"/>
      <c r="AJ82" s="51"/>
      <c r="AK82" s="53"/>
      <c r="AL82" s="53"/>
      <c r="AM82" s="53"/>
      <c r="AN82" s="51"/>
      <c r="AO82" s="51"/>
      <c r="AP82" s="53"/>
      <c r="AQ82" s="53"/>
      <c r="AR82" s="53"/>
      <c r="AS82" s="51"/>
      <c r="AT82" s="51"/>
      <c r="AU82" s="53"/>
      <c r="AV82" s="53"/>
      <c r="AW82" s="53"/>
      <c r="AX82" s="51"/>
      <c r="AY82" s="51">
        <f t="shared" si="17"/>
        <v>0</v>
      </c>
      <c r="AZ82" s="55"/>
      <c r="BA82" s="55"/>
      <c r="BB82" s="55"/>
      <c r="BC82" s="51"/>
      <c r="BD82" s="51"/>
    </row>
    <row r="83" spans="1:56" ht="14.4" x14ac:dyDescent="0.3">
      <c r="A83" s="42">
        <v>82</v>
      </c>
      <c r="B83" s="2">
        <v>14386</v>
      </c>
      <c r="C83" s="53" t="s">
        <v>73</v>
      </c>
      <c r="D83" s="67">
        <v>49934.09</v>
      </c>
      <c r="E83" s="51"/>
      <c r="F83" s="51"/>
      <c r="G83" s="50">
        <v>46155</v>
      </c>
      <c r="H83" s="70">
        <v>0</v>
      </c>
      <c r="I83" s="2">
        <v>28059857</v>
      </c>
      <c r="J83" s="49">
        <f t="shared" si="19"/>
        <v>15176.05</v>
      </c>
      <c r="K83" s="49">
        <f t="shared" si="16"/>
        <v>34758.039999999994</v>
      </c>
      <c r="L83" s="14">
        <v>15176.05</v>
      </c>
      <c r="M83" s="38">
        <v>899606</v>
      </c>
      <c r="N83" s="12">
        <v>46146</v>
      </c>
      <c r="O83" s="14">
        <v>489.31319999999999</v>
      </c>
      <c r="P83" s="51">
        <f t="shared" si="20"/>
        <v>31.015002252136259</v>
      </c>
      <c r="Q83" s="22"/>
      <c r="R83" s="2"/>
      <c r="S83" s="2"/>
      <c r="T83" s="14"/>
      <c r="U83" s="51"/>
      <c r="V83" s="22"/>
      <c r="W83" s="53"/>
      <c r="X83" s="2"/>
      <c r="Y83" s="14"/>
      <c r="Z83" s="51"/>
      <c r="AA83" s="53"/>
      <c r="AB83" s="53"/>
      <c r="AC83" s="53"/>
      <c r="AD83" s="14"/>
      <c r="AE83" s="51"/>
      <c r="AF83" s="53"/>
      <c r="AG83" s="53"/>
      <c r="AH83" s="53"/>
      <c r="AI83" s="14"/>
      <c r="AJ83" s="51"/>
      <c r="AK83" s="53"/>
      <c r="AL83" s="53"/>
      <c r="AM83" s="53"/>
      <c r="AN83" s="14"/>
      <c r="AO83" s="51"/>
      <c r="AP83" s="53"/>
      <c r="AQ83" s="53"/>
      <c r="AR83" s="53"/>
      <c r="AS83" s="14"/>
      <c r="AT83" s="51"/>
      <c r="AU83" s="53"/>
      <c r="AV83" s="53"/>
      <c r="AW83" s="53"/>
      <c r="AX83" s="14"/>
      <c r="AY83" s="51">
        <f t="shared" si="17"/>
        <v>0</v>
      </c>
      <c r="AZ83" s="55"/>
      <c r="BA83" s="55"/>
      <c r="BB83" s="55"/>
      <c r="BC83" s="14"/>
      <c r="BD83" s="51"/>
    </row>
    <row r="84" spans="1:56" ht="14.4" x14ac:dyDescent="0.3">
      <c r="A84" s="42">
        <v>83</v>
      </c>
      <c r="B84" s="2">
        <v>14384</v>
      </c>
      <c r="C84" s="53" t="s">
        <v>57</v>
      </c>
      <c r="D84" s="67">
        <v>39035.879999999997</v>
      </c>
      <c r="E84" s="51"/>
      <c r="F84" s="51"/>
      <c r="G84" s="50">
        <v>46155</v>
      </c>
      <c r="H84" s="70">
        <v>0</v>
      </c>
      <c r="I84" s="2">
        <v>23628773</v>
      </c>
      <c r="J84" s="49">
        <f t="shared" si="19"/>
        <v>11700</v>
      </c>
      <c r="K84" s="49">
        <f t="shared" si="16"/>
        <v>27335.879999999997</v>
      </c>
      <c r="L84" s="14">
        <v>5200</v>
      </c>
      <c r="M84" s="38">
        <v>52185</v>
      </c>
      <c r="N84" s="12">
        <v>45796</v>
      </c>
      <c r="O84" s="14">
        <v>94.5261</v>
      </c>
      <c r="P84" s="51">
        <f t="shared" si="20"/>
        <v>55.011261439962084</v>
      </c>
      <c r="Q84" s="45">
        <v>4000</v>
      </c>
      <c r="R84" s="52">
        <v>777324</v>
      </c>
      <c r="S84" s="46">
        <v>46191</v>
      </c>
      <c r="T84" s="14">
        <v>602.33240000000001</v>
      </c>
      <c r="U84" s="51">
        <f t="shared" si="21"/>
        <v>6.6408514634112326</v>
      </c>
      <c r="V84" s="45">
        <v>2500</v>
      </c>
      <c r="W84" s="52">
        <v>727798</v>
      </c>
      <c r="X84" s="46">
        <v>46195</v>
      </c>
      <c r="Y84" s="14">
        <v>614.57749999999999</v>
      </c>
      <c r="Z84" s="51">
        <f t="shared" si="22"/>
        <v>4.0678352201309034</v>
      </c>
      <c r="AA84" s="53"/>
      <c r="AB84" s="53"/>
      <c r="AC84" s="53"/>
      <c r="AD84" s="14"/>
      <c r="AE84" s="51"/>
      <c r="AF84" s="53"/>
      <c r="AG84" s="53"/>
      <c r="AH84" s="53"/>
      <c r="AI84" s="14"/>
      <c r="AJ84" s="51"/>
      <c r="AK84" s="53"/>
      <c r="AL84" s="53"/>
      <c r="AM84" s="53"/>
      <c r="AN84" s="14"/>
      <c r="AO84" s="51"/>
      <c r="AP84" s="53"/>
      <c r="AQ84" s="53"/>
      <c r="AR84" s="53"/>
      <c r="AS84" s="14"/>
      <c r="AT84" s="51"/>
      <c r="AU84" s="53"/>
      <c r="AV84" s="53"/>
      <c r="AW84" s="53"/>
      <c r="AX84" s="14"/>
      <c r="AY84" s="51">
        <f t="shared" si="17"/>
        <v>0</v>
      </c>
      <c r="AZ84" s="55"/>
      <c r="BA84" s="55"/>
      <c r="BB84" s="55"/>
      <c r="BC84" s="14"/>
      <c r="BD84" s="51"/>
    </row>
    <row r="85" spans="1:56" ht="14.4" x14ac:dyDescent="0.3">
      <c r="A85" s="42">
        <v>84</v>
      </c>
      <c r="B85" s="2">
        <v>14387</v>
      </c>
      <c r="C85" s="53" t="s">
        <v>74</v>
      </c>
      <c r="D85" s="67">
        <v>31533.200000000001</v>
      </c>
      <c r="E85" s="51"/>
      <c r="F85" s="51"/>
      <c r="G85" s="50">
        <v>46155</v>
      </c>
      <c r="H85" s="70">
        <v>0</v>
      </c>
      <c r="I85" s="2">
        <v>26573762</v>
      </c>
      <c r="J85" s="49">
        <f t="shared" si="19"/>
        <v>31797.409999999996</v>
      </c>
      <c r="K85" s="49">
        <f t="shared" si="16"/>
        <v>-264.20999999999549</v>
      </c>
      <c r="L85" s="14">
        <v>9273.24</v>
      </c>
      <c r="M85" s="38">
        <v>904007</v>
      </c>
      <c r="N85" s="12">
        <v>45796</v>
      </c>
      <c r="O85" s="14">
        <v>94.5261</v>
      </c>
      <c r="P85" s="51">
        <f t="shared" si="20"/>
        <v>98.102428852983465</v>
      </c>
      <c r="Q85" s="51">
        <v>22524.17</v>
      </c>
      <c r="R85" s="24">
        <v>529319</v>
      </c>
      <c r="S85" s="5" t="s">
        <v>75</v>
      </c>
      <c r="T85" s="14"/>
      <c r="U85" s="51"/>
      <c r="V85" s="22"/>
      <c r="W85" s="55"/>
      <c r="X85" s="2"/>
      <c r="Y85" s="14"/>
      <c r="Z85" s="51"/>
      <c r="AA85" s="53"/>
      <c r="AB85" s="53"/>
      <c r="AC85" s="53"/>
      <c r="AD85" s="14"/>
      <c r="AE85" s="51"/>
      <c r="AF85" s="53"/>
      <c r="AG85" s="53"/>
      <c r="AH85" s="53"/>
      <c r="AI85" s="14"/>
      <c r="AJ85" s="51"/>
      <c r="AK85" s="53"/>
      <c r="AL85" s="53"/>
      <c r="AM85" s="53"/>
      <c r="AN85" s="14"/>
      <c r="AO85" s="51"/>
      <c r="AP85" s="53"/>
      <c r="AQ85" s="53"/>
      <c r="AR85" s="53"/>
      <c r="AS85" s="14"/>
      <c r="AT85" s="51"/>
      <c r="AU85" s="53"/>
      <c r="AV85" s="53"/>
      <c r="AW85" s="53"/>
      <c r="AX85" s="14"/>
      <c r="AY85" s="51">
        <f t="shared" si="17"/>
        <v>0</v>
      </c>
      <c r="AZ85" s="55"/>
      <c r="BA85" s="55"/>
      <c r="BB85" s="55"/>
      <c r="BC85" s="14"/>
      <c r="BD85" s="51"/>
    </row>
    <row r="86" spans="1:56" ht="14.4" x14ac:dyDescent="0.3">
      <c r="A86" s="42">
        <v>85</v>
      </c>
      <c r="B86" s="2">
        <v>14358</v>
      </c>
      <c r="C86" s="53" t="s">
        <v>38</v>
      </c>
      <c r="D86" s="67">
        <v>183581.25</v>
      </c>
      <c r="E86" s="51">
        <f t="shared" si="24"/>
        <v>366.82458119580241</v>
      </c>
      <c r="F86" s="51">
        <f t="shared" si="18"/>
        <v>91.706145298950602</v>
      </c>
      <c r="G86" s="50">
        <v>46153</v>
      </c>
      <c r="H86" s="70">
        <v>500.4606</v>
      </c>
      <c r="I86" s="2">
        <v>18030264</v>
      </c>
      <c r="J86" s="49">
        <f t="shared" si="19"/>
        <v>183581.25</v>
      </c>
      <c r="K86" s="49">
        <f t="shared" si="16"/>
        <v>0</v>
      </c>
      <c r="L86" s="51">
        <v>4541.2800000000007</v>
      </c>
      <c r="M86" s="2">
        <v>654442</v>
      </c>
      <c r="N86" s="54">
        <v>46153</v>
      </c>
      <c r="O86" s="22">
        <v>500.4606</v>
      </c>
      <c r="P86" s="51">
        <f t="shared" si="20"/>
        <v>9.0742008461804993</v>
      </c>
      <c r="Q86" s="51">
        <v>179039.97</v>
      </c>
      <c r="R86" s="2">
        <v>78455771</v>
      </c>
      <c r="S86" s="50">
        <v>45812</v>
      </c>
      <c r="T86" s="51">
        <v>97.175899999999999</v>
      </c>
      <c r="U86" s="51">
        <f t="shared" si="21"/>
        <v>1842.4318169422666</v>
      </c>
      <c r="V86" s="22"/>
      <c r="W86" s="53"/>
      <c r="X86" s="2"/>
      <c r="Y86" s="22"/>
      <c r="Z86" s="51"/>
      <c r="AA86" s="53"/>
      <c r="AB86" s="53"/>
      <c r="AC86" s="53"/>
      <c r="AD86" s="22"/>
      <c r="AE86" s="51"/>
      <c r="AF86" s="53"/>
      <c r="AG86" s="53"/>
      <c r="AH86" s="53"/>
      <c r="AI86" s="51"/>
      <c r="AJ86" s="51"/>
      <c r="AK86" s="53"/>
      <c r="AL86" s="53"/>
      <c r="AM86" s="53"/>
      <c r="AN86" s="22"/>
      <c r="AO86" s="51"/>
      <c r="AP86" s="53"/>
      <c r="AQ86" s="53"/>
      <c r="AR86" s="53"/>
      <c r="AS86" s="22"/>
      <c r="AT86" s="51"/>
      <c r="AU86" s="53"/>
      <c r="AV86" s="53"/>
      <c r="AW86" s="53"/>
      <c r="AX86" s="22"/>
      <c r="AY86" s="51">
        <f t="shared" si="17"/>
        <v>0</v>
      </c>
      <c r="AZ86" s="55"/>
      <c r="BA86" s="55"/>
      <c r="BB86" s="55"/>
      <c r="BC86" s="22"/>
      <c r="BD86" s="51"/>
    </row>
    <row r="87" spans="1:56" ht="14.4" x14ac:dyDescent="0.3">
      <c r="A87" s="42">
        <v>86</v>
      </c>
      <c r="B87" s="2">
        <v>14383</v>
      </c>
      <c r="C87" s="53" t="s">
        <v>76</v>
      </c>
      <c r="D87" s="67">
        <v>81074.52</v>
      </c>
      <c r="E87" s="51"/>
      <c r="F87" s="51"/>
      <c r="G87" s="50">
        <v>46155</v>
      </c>
      <c r="H87" s="70">
        <v>0</v>
      </c>
      <c r="I87" s="2">
        <v>18689211</v>
      </c>
      <c r="J87" s="49">
        <f t="shared" si="19"/>
        <v>23993.759999999998</v>
      </c>
      <c r="K87" s="49">
        <f t="shared" si="16"/>
        <v>57080.760000000009</v>
      </c>
      <c r="L87" s="14">
        <v>23993.759999999998</v>
      </c>
      <c r="M87" s="38">
        <v>664179</v>
      </c>
      <c r="N87" s="12">
        <v>46153</v>
      </c>
      <c r="O87" s="14">
        <v>500.4606</v>
      </c>
      <c r="P87" s="51">
        <f t="shared" si="20"/>
        <v>47.94335458175928</v>
      </c>
      <c r="Q87" s="22"/>
      <c r="R87" s="2"/>
      <c r="S87" s="2"/>
      <c r="T87" s="14"/>
      <c r="U87" s="51"/>
      <c r="V87" s="22"/>
      <c r="W87" s="53"/>
      <c r="X87" s="2"/>
      <c r="Y87" s="14"/>
      <c r="Z87" s="51"/>
      <c r="AA87" s="53"/>
      <c r="AB87" s="53"/>
      <c r="AC87" s="53"/>
      <c r="AD87" s="14"/>
      <c r="AE87" s="51"/>
      <c r="AF87" s="53"/>
      <c r="AG87" s="53"/>
      <c r="AH87" s="53"/>
      <c r="AI87" s="14"/>
      <c r="AJ87" s="51"/>
      <c r="AK87" s="53"/>
      <c r="AL87" s="53"/>
      <c r="AM87" s="53"/>
      <c r="AN87" s="14"/>
      <c r="AO87" s="51"/>
      <c r="AP87" s="53"/>
      <c r="AQ87" s="53"/>
      <c r="AR87" s="53"/>
      <c r="AS87" s="14"/>
      <c r="AT87" s="51"/>
      <c r="AU87" s="53"/>
      <c r="AV87" s="53"/>
      <c r="AW87" s="53"/>
      <c r="AX87" s="14"/>
      <c r="AY87" s="51">
        <f t="shared" si="17"/>
        <v>0</v>
      </c>
      <c r="AZ87" s="55"/>
      <c r="BA87" s="55"/>
      <c r="BB87" s="55"/>
      <c r="BC87" s="14"/>
      <c r="BD87" s="51"/>
    </row>
    <row r="88" spans="1:56" ht="14.4" x14ac:dyDescent="0.3">
      <c r="A88" s="42">
        <v>87</v>
      </c>
      <c r="B88" s="2">
        <v>14403</v>
      </c>
      <c r="C88" s="53" t="s">
        <v>128</v>
      </c>
      <c r="D88" s="67">
        <v>222258.19</v>
      </c>
      <c r="E88" s="51">
        <f t="shared" si="24"/>
        <v>435.13487215631</v>
      </c>
      <c r="F88" s="51">
        <f t="shared" si="18"/>
        <v>108.7837180390775</v>
      </c>
      <c r="G88" s="50">
        <v>46156</v>
      </c>
      <c r="H88" s="70">
        <v>510.78</v>
      </c>
      <c r="I88" s="2">
        <v>31934804</v>
      </c>
      <c r="J88" s="49">
        <f t="shared" si="19"/>
        <v>105798.06</v>
      </c>
      <c r="K88" s="49">
        <f t="shared" si="16"/>
        <v>116460.13</v>
      </c>
      <c r="L88" s="14">
        <v>64620.06</v>
      </c>
      <c r="M88" s="38">
        <v>166162</v>
      </c>
      <c r="N88" s="12">
        <v>46146</v>
      </c>
      <c r="O88" s="14">
        <v>489.31319999999999</v>
      </c>
      <c r="P88" s="51">
        <f t="shared" si="20"/>
        <v>132.06277696984262</v>
      </c>
      <c r="Q88" s="68">
        <v>41178</v>
      </c>
      <c r="R88" s="2">
        <v>605000345</v>
      </c>
      <c r="S88" s="5">
        <v>46171</v>
      </c>
      <c r="T88" s="14">
        <v>547.04100000000005</v>
      </c>
      <c r="U88" s="51">
        <f t="shared" si="21"/>
        <v>75.274065380839815</v>
      </c>
      <c r="V88" s="22"/>
      <c r="W88" s="53"/>
      <c r="X88" s="2"/>
      <c r="Y88" s="14"/>
      <c r="Z88" s="51"/>
      <c r="AA88" s="53"/>
      <c r="AB88" s="53"/>
      <c r="AC88" s="53"/>
      <c r="AD88" s="14"/>
      <c r="AE88" s="51"/>
      <c r="AF88" s="53"/>
      <c r="AG88" s="53"/>
      <c r="AH88" s="53"/>
      <c r="AI88" s="14"/>
      <c r="AJ88" s="51"/>
      <c r="AK88" s="53"/>
      <c r="AL88" s="53"/>
      <c r="AM88" s="53"/>
      <c r="AN88" s="14"/>
      <c r="AO88" s="51"/>
      <c r="AP88" s="53"/>
      <c r="AQ88" s="53"/>
      <c r="AR88" s="53"/>
      <c r="AS88" s="14"/>
      <c r="AT88" s="51"/>
      <c r="AU88" s="53"/>
      <c r="AV88" s="53"/>
      <c r="AW88" s="53"/>
      <c r="AX88" s="14"/>
      <c r="AY88" s="51">
        <f t="shared" si="17"/>
        <v>0</v>
      </c>
      <c r="AZ88" s="55"/>
      <c r="BA88" s="55"/>
      <c r="BB88" s="55"/>
      <c r="BC88" s="14"/>
      <c r="BD88" s="51"/>
    </row>
    <row r="89" spans="1:56" ht="14.4" x14ac:dyDescent="0.3">
      <c r="A89" s="42">
        <v>88</v>
      </c>
      <c r="B89" s="2">
        <v>14440</v>
      </c>
      <c r="C89" s="53" t="s">
        <v>77</v>
      </c>
      <c r="D89" s="45">
        <v>266231.44</v>
      </c>
      <c r="E89" s="51"/>
      <c r="F89" s="51"/>
      <c r="G89" s="50">
        <v>46160</v>
      </c>
      <c r="H89" s="70">
        <v>0</v>
      </c>
      <c r="I89" s="2">
        <v>19965348</v>
      </c>
      <c r="J89" s="49">
        <f t="shared" si="19"/>
        <v>187356.39</v>
      </c>
      <c r="K89" s="49">
        <f t="shared" si="16"/>
        <v>78875.049999999988</v>
      </c>
      <c r="L89" s="14">
        <v>49440.75</v>
      </c>
      <c r="M89" s="38">
        <v>383253</v>
      </c>
      <c r="N89" s="12">
        <v>46161</v>
      </c>
      <c r="O89" s="14">
        <v>517.96190000000001</v>
      </c>
      <c r="P89" s="51">
        <f t="shared" si="20"/>
        <v>95.452484053363762</v>
      </c>
      <c r="Q89" s="51">
        <v>48603.6</v>
      </c>
      <c r="R89" s="2">
        <v>940567</v>
      </c>
      <c r="S89" s="50">
        <v>46169</v>
      </c>
      <c r="T89" s="14">
        <v>540.04309999999998</v>
      </c>
      <c r="U89" s="51">
        <f t="shared" si="21"/>
        <v>89.999483374567703</v>
      </c>
      <c r="V89" s="45">
        <v>3240.24</v>
      </c>
      <c r="W89" s="2">
        <v>605000345</v>
      </c>
      <c r="X89" s="5">
        <v>46171</v>
      </c>
      <c r="Y89" s="14">
        <v>547.04100000000005</v>
      </c>
      <c r="Z89" s="51">
        <f t="shared" si="22"/>
        <v>5.9232123369180725</v>
      </c>
      <c r="AA89" s="2">
        <v>30000</v>
      </c>
      <c r="AB89" s="44">
        <v>384224</v>
      </c>
      <c r="AC89" s="50">
        <v>46161</v>
      </c>
      <c r="AD89" s="14">
        <v>517.96190000000001</v>
      </c>
      <c r="AE89" s="51">
        <f t="shared" si="23"/>
        <v>57.919318003891789</v>
      </c>
      <c r="AF89" s="51">
        <v>56071.8</v>
      </c>
      <c r="AG89" s="34">
        <v>738300</v>
      </c>
      <c r="AH89" s="3">
        <v>46203</v>
      </c>
      <c r="AI89" s="14">
        <v>623.02229999999997</v>
      </c>
      <c r="AJ89" s="51">
        <f t="shared" ref="AJ89" si="25">AF89/AI89</f>
        <v>89.999667748650424</v>
      </c>
      <c r="AK89" s="55"/>
      <c r="AL89" s="53"/>
      <c r="AM89" s="53"/>
      <c r="AN89" s="14"/>
      <c r="AO89" s="51"/>
      <c r="AP89" s="53"/>
      <c r="AQ89" s="53"/>
      <c r="AR89" s="53"/>
      <c r="AS89" s="14"/>
      <c r="AT89" s="51"/>
      <c r="AU89" s="53"/>
      <c r="AV89" s="53"/>
      <c r="AW89" s="53"/>
      <c r="AX89" s="14"/>
      <c r="AY89" s="51">
        <f t="shared" si="17"/>
        <v>0</v>
      </c>
      <c r="AZ89" s="55"/>
      <c r="BA89" s="55"/>
      <c r="BB89" s="55"/>
      <c r="BC89" s="14"/>
      <c r="BD89" s="51"/>
    </row>
    <row r="90" spans="1:56" ht="14.4" x14ac:dyDescent="0.3">
      <c r="A90" s="42">
        <v>89</v>
      </c>
      <c r="B90" s="2">
        <v>14441</v>
      </c>
      <c r="C90" s="53" t="s">
        <v>67</v>
      </c>
      <c r="D90" s="43">
        <v>29527.13</v>
      </c>
      <c r="E90" s="51"/>
      <c r="F90" s="51"/>
      <c r="G90" s="50">
        <v>46160</v>
      </c>
      <c r="H90" s="70">
        <v>0</v>
      </c>
      <c r="I90" s="2">
        <v>30165064</v>
      </c>
      <c r="J90" s="49">
        <f t="shared" si="19"/>
        <v>7769.4</v>
      </c>
      <c r="K90" s="49">
        <f t="shared" si="16"/>
        <v>21757.730000000003</v>
      </c>
      <c r="L90" s="14">
        <v>7769.4</v>
      </c>
      <c r="M90" s="38">
        <v>826301</v>
      </c>
      <c r="N90" s="12">
        <v>46161</v>
      </c>
      <c r="O90" s="14">
        <v>517.96190000000001</v>
      </c>
      <c r="P90" s="51">
        <f t="shared" si="20"/>
        <v>14.999944976647896</v>
      </c>
      <c r="Q90" s="22"/>
      <c r="R90" s="2"/>
      <c r="S90" s="2"/>
      <c r="T90" s="14"/>
      <c r="U90" s="51"/>
      <c r="V90" s="22"/>
      <c r="W90" s="53"/>
      <c r="X90" s="2"/>
      <c r="Y90" s="14"/>
      <c r="Z90" s="51"/>
      <c r="AA90" s="53"/>
      <c r="AB90" s="53"/>
      <c r="AC90" s="53"/>
      <c r="AD90" s="14"/>
      <c r="AE90" s="51"/>
      <c r="AF90" s="53"/>
      <c r="AG90" s="53"/>
      <c r="AH90" s="53"/>
      <c r="AI90" s="14"/>
      <c r="AJ90" s="51"/>
      <c r="AK90" s="53"/>
      <c r="AL90" s="53"/>
      <c r="AM90" s="53"/>
      <c r="AN90" s="14"/>
      <c r="AO90" s="51"/>
      <c r="AP90" s="53"/>
      <c r="AQ90" s="53"/>
      <c r="AR90" s="53"/>
      <c r="AS90" s="14"/>
      <c r="AT90" s="51"/>
      <c r="AU90" s="53"/>
      <c r="AV90" s="53"/>
      <c r="AW90" s="53"/>
      <c r="AX90" s="14"/>
      <c r="AY90" s="51">
        <f t="shared" si="17"/>
        <v>0</v>
      </c>
      <c r="AZ90" s="55"/>
      <c r="BA90" s="55"/>
      <c r="BB90" s="55"/>
      <c r="BC90" s="14"/>
      <c r="BD90" s="51"/>
    </row>
    <row r="91" spans="1:56" ht="14.4" x14ac:dyDescent="0.3">
      <c r="A91" s="42">
        <v>90</v>
      </c>
      <c r="B91" s="2">
        <v>14442</v>
      </c>
      <c r="C91" s="53" t="s">
        <v>78</v>
      </c>
      <c r="D91" s="51">
        <v>108190.54</v>
      </c>
      <c r="E91" s="51"/>
      <c r="F91" s="51"/>
      <c r="G91" s="50">
        <v>46160</v>
      </c>
      <c r="H91" s="70">
        <v>0</v>
      </c>
      <c r="I91" s="2">
        <v>6222850</v>
      </c>
      <c r="J91" s="49">
        <f t="shared" si="19"/>
        <v>66649</v>
      </c>
      <c r="K91" s="49">
        <f t="shared" si="16"/>
        <v>41541.539999999994</v>
      </c>
      <c r="L91" s="51">
        <v>32310.3</v>
      </c>
      <c r="M91" s="44">
        <v>34092</v>
      </c>
      <c r="N91" s="50">
        <v>46146</v>
      </c>
      <c r="O91" s="51">
        <v>489.31319999999999</v>
      </c>
      <c r="P91" s="51">
        <f t="shared" si="20"/>
        <v>66.031940278741715</v>
      </c>
      <c r="Q91" s="14">
        <v>15970.58</v>
      </c>
      <c r="R91" s="38">
        <v>277421</v>
      </c>
      <c r="S91" s="12">
        <v>46157</v>
      </c>
      <c r="T91" s="51">
        <v>515.17999999999995</v>
      </c>
      <c r="U91" s="51">
        <f t="shared" si="21"/>
        <v>31.000000000000004</v>
      </c>
      <c r="V91" s="45">
        <v>18368.12</v>
      </c>
      <c r="W91" s="52">
        <v>572631</v>
      </c>
      <c r="X91" s="46">
        <v>46189</v>
      </c>
      <c r="Y91" s="51">
        <v>592.5163</v>
      </c>
      <c r="Z91" s="51">
        <f t="shared" si="22"/>
        <v>31.000193581172365</v>
      </c>
      <c r="AA91" s="46"/>
      <c r="AB91" s="53"/>
      <c r="AC91" s="53"/>
      <c r="AD91" s="51"/>
      <c r="AE91" s="51"/>
      <c r="AF91" s="53"/>
      <c r="AG91" s="53"/>
      <c r="AH91" s="53"/>
      <c r="AI91" s="51"/>
      <c r="AJ91" s="51"/>
      <c r="AK91" s="53"/>
      <c r="AL91" s="53"/>
      <c r="AM91" s="53"/>
      <c r="AN91" s="51"/>
      <c r="AO91" s="51"/>
      <c r="AP91" s="53"/>
      <c r="AQ91" s="53"/>
      <c r="AR91" s="53"/>
      <c r="AS91" s="51"/>
      <c r="AT91" s="51"/>
      <c r="AU91" s="53"/>
      <c r="AV91" s="53"/>
      <c r="AW91" s="53"/>
      <c r="AX91" s="51"/>
      <c r="AY91" s="51">
        <f t="shared" si="17"/>
        <v>0</v>
      </c>
      <c r="AZ91" s="55"/>
      <c r="BA91" s="55"/>
      <c r="BB91" s="55"/>
      <c r="BC91" s="51"/>
      <c r="BD91" s="51"/>
    </row>
    <row r="92" spans="1:56" ht="14.4" x14ac:dyDescent="0.3">
      <c r="A92" s="42">
        <v>91</v>
      </c>
      <c r="B92" s="2">
        <v>14343</v>
      </c>
      <c r="C92" s="53" t="s">
        <v>79</v>
      </c>
      <c r="D92" s="69">
        <v>114554.7</v>
      </c>
      <c r="E92" s="51">
        <f t="shared" si="24"/>
        <v>228.89853866618071</v>
      </c>
      <c r="F92" s="51">
        <f t="shared" si="18"/>
        <v>57.224634666545178</v>
      </c>
      <c r="G92" s="50">
        <v>46153</v>
      </c>
      <c r="H92" s="70">
        <v>500.4606</v>
      </c>
      <c r="I92" s="2">
        <v>11685553</v>
      </c>
      <c r="J92" s="49">
        <f t="shared" si="19"/>
        <v>34097.699999999997</v>
      </c>
      <c r="K92" s="49">
        <f t="shared" si="16"/>
        <v>80457</v>
      </c>
      <c r="L92" s="51">
        <v>34097.699999999997</v>
      </c>
      <c r="M92" s="44">
        <v>698734</v>
      </c>
      <c r="N92" s="50">
        <v>46142</v>
      </c>
      <c r="O92" s="51">
        <v>489.55</v>
      </c>
      <c r="P92" s="51">
        <f t="shared" si="20"/>
        <v>69.651108160555609</v>
      </c>
      <c r="Q92" s="22"/>
      <c r="R92" s="2"/>
      <c r="S92" s="2"/>
      <c r="T92" s="51"/>
      <c r="U92" s="51"/>
      <c r="V92" s="22"/>
      <c r="W92" s="53"/>
      <c r="X92" s="2"/>
      <c r="Y92" s="51"/>
      <c r="Z92" s="51"/>
      <c r="AA92" s="53"/>
      <c r="AB92" s="53"/>
      <c r="AC92" s="53"/>
      <c r="AD92" s="51"/>
      <c r="AE92" s="51"/>
      <c r="AF92" s="53"/>
      <c r="AG92" s="53"/>
      <c r="AH92" s="53"/>
      <c r="AI92" s="51"/>
      <c r="AJ92" s="51"/>
      <c r="AK92" s="53"/>
      <c r="AL92" s="53"/>
      <c r="AM92" s="53"/>
      <c r="AN92" s="51"/>
      <c r="AO92" s="51"/>
      <c r="AP92" s="53"/>
      <c r="AQ92" s="53"/>
      <c r="AR92" s="53"/>
      <c r="AS92" s="51"/>
      <c r="AT92" s="51"/>
      <c r="AU92" s="53"/>
      <c r="AV92" s="53"/>
      <c r="AW92" s="53"/>
      <c r="AX92" s="51"/>
      <c r="AY92" s="51">
        <f t="shared" si="17"/>
        <v>0</v>
      </c>
      <c r="AZ92" s="55"/>
      <c r="BA92" s="55"/>
      <c r="BB92" s="55"/>
      <c r="BC92" s="51"/>
      <c r="BD92" s="51"/>
    </row>
    <row r="93" spans="1:56" ht="14.4" x14ac:dyDescent="0.3">
      <c r="A93" s="42">
        <v>92</v>
      </c>
      <c r="B93" s="2">
        <v>14342</v>
      </c>
      <c r="C93" s="53" t="s">
        <v>80</v>
      </c>
      <c r="D93" s="69">
        <v>71474.289999999994</v>
      </c>
      <c r="E93" s="51">
        <f t="shared" si="24"/>
        <v>142.81701696397278</v>
      </c>
      <c r="F93" s="51">
        <f t="shared" si="18"/>
        <v>35.704254240993194</v>
      </c>
      <c r="G93" s="50">
        <v>46153</v>
      </c>
      <c r="H93" s="70">
        <v>500.4606</v>
      </c>
      <c r="I93" s="2">
        <v>27938172</v>
      </c>
      <c r="J93" s="49">
        <f t="shared" si="19"/>
        <v>51672.54</v>
      </c>
      <c r="K93" s="49">
        <f t="shared" si="16"/>
        <v>19801.749999999993</v>
      </c>
      <c r="L93" s="51">
        <v>21432.84</v>
      </c>
      <c r="M93" s="44">
        <v>35371</v>
      </c>
      <c r="N93" s="50">
        <v>46142</v>
      </c>
      <c r="O93" s="51">
        <v>489.55</v>
      </c>
      <c r="P93" s="51">
        <f t="shared" si="20"/>
        <v>43.780696558063525</v>
      </c>
      <c r="Q93" s="43">
        <v>14041.12</v>
      </c>
      <c r="R93" s="44">
        <v>489</v>
      </c>
      <c r="S93" s="50">
        <v>46169</v>
      </c>
      <c r="T93" s="51">
        <v>540.04309999999998</v>
      </c>
      <c r="U93" s="51">
        <f t="shared" si="21"/>
        <v>25.999998888977569</v>
      </c>
      <c r="V93" s="51">
        <v>16198.58</v>
      </c>
      <c r="W93" s="24">
        <v>361028</v>
      </c>
      <c r="X93" s="3">
        <v>46203</v>
      </c>
      <c r="Y93" s="51">
        <v>623.02229999999997</v>
      </c>
      <c r="Z93" s="51">
        <f t="shared" si="22"/>
        <v>26.000000321015797</v>
      </c>
      <c r="AA93" s="53"/>
      <c r="AB93" s="53"/>
      <c r="AC93" s="53"/>
      <c r="AD93" s="51"/>
      <c r="AE93" s="51"/>
      <c r="AF93" s="53"/>
      <c r="AG93" s="53"/>
      <c r="AH93" s="53"/>
      <c r="AI93" s="51"/>
      <c r="AJ93" s="51"/>
      <c r="AK93" s="53"/>
      <c r="AL93" s="53"/>
      <c r="AM93" s="53"/>
      <c r="AN93" s="51"/>
      <c r="AO93" s="51"/>
      <c r="AP93" s="53"/>
      <c r="AQ93" s="53"/>
      <c r="AR93" s="53"/>
      <c r="AS93" s="51"/>
      <c r="AT93" s="51"/>
      <c r="AU93" s="53"/>
      <c r="AV93" s="53"/>
      <c r="AW93" s="53"/>
      <c r="AX93" s="51"/>
      <c r="AY93" s="51">
        <f t="shared" si="17"/>
        <v>0</v>
      </c>
      <c r="AZ93" s="55"/>
      <c r="BA93" s="55"/>
      <c r="BB93" s="55"/>
      <c r="BC93" s="51"/>
      <c r="BD93" s="51"/>
    </row>
    <row r="94" spans="1:56" ht="14.4" x14ac:dyDescent="0.3">
      <c r="A94" s="42">
        <v>93</v>
      </c>
      <c r="B94" s="2">
        <v>14341</v>
      </c>
      <c r="C94" s="53" t="s">
        <v>81</v>
      </c>
      <c r="D94" s="69">
        <v>429335.35</v>
      </c>
      <c r="E94" s="51">
        <f t="shared" si="24"/>
        <v>857.8804205565832</v>
      </c>
      <c r="F94" s="51">
        <f t="shared" si="18"/>
        <v>214.4701051391458</v>
      </c>
      <c r="G94" s="50">
        <v>46153</v>
      </c>
      <c r="H94" s="70">
        <v>500.4606</v>
      </c>
      <c r="I94" s="2">
        <v>20978858</v>
      </c>
      <c r="J94" s="49">
        <f t="shared" si="19"/>
        <v>212158.90000000002</v>
      </c>
      <c r="K94" s="49">
        <f t="shared" si="16"/>
        <v>217176.44999999995</v>
      </c>
      <c r="L94" s="51">
        <v>129327.7</v>
      </c>
      <c r="M94" s="44">
        <v>982872</v>
      </c>
      <c r="N94" s="50">
        <v>46142</v>
      </c>
      <c r="O94" s="51">
        <v>489.55</v>
      </c>
      <c r="P94" s="51">
        <f t="shared" si="20"/>
        <v>264.17669288121743</v>
      </c>
      <c r="Q94" s="69">
        <v>16566.240000000002</v>
      </c>
      <c r="R94" s="2">
        <v>605000345</v>
      </c>
      <c r="S94" s="5">
        <v>46171</v>
      </c>
      <c r="T94" s="51">
        <v>547.04100000000005</v>
      </c>
      <c r="U94" s="51">
        <f t="shared" si="21"/>
        <v>30.283360844982369</v>
      </c>
      <c r="V94" s="51">
        <v>66264.960000000006</v>
      </c>
      <c r="W94" s="56">
        <v>606000329</v>
      </c>
      <c r="X94" s="3">
        <v>46203</v>
      </c>
      <c r="Y94" s="51">
        <v>623.02229999999997</v>
      </c>
      <c r="Z94" s="51">
        <f t="shared" si="22"/>
        <v>106.36049464040053</v>
      </c>
      <c r="AA94" s="53"/>
      <c r="AB94" s="53"/>
      <c r="AC94" s="53"/>
      <c r="AD94" s="51"/>
      <c r="AE94" s="51"/>
      <c r="AF94" s="53"/>
      <c r="AG94" s="53"/>
      <c r="AH94" s="53"/>
      <c r="AI94" s="51"/>
      <c r="AJ94" s="51"/>
      <c r="AK94" s="53"/>
      <c r="AL94" s="53"/>
      <c r="AM94" s="53"/>
      <c r="AN94" s="51"/>
      <c r="AO94" s="51"/>
      <c r="AP94" s="53"/>
      <c r="AQ94" s="53"/>
      <c r="AR94" s="53"/>
      <c r="AS94" s="51"/>
      <c r="AT94" s="51"/>
      <c r="AU94" s="53"/>
      <c r="AV94" s="53"/>
      <c r="AW94" s="53"/>
      <c r="AX94" s="51"/>
      <c r="AY94" s="51">
        <f t="shared" si="17"/>
        <v>0</v>
      </c>
      <c r="AZ94" s="55"/>
      <c r="BA94" s="55"/>
      <c r="BB94" s="55"/>
      <c r="BC94" s="51"/>
      <c r="BD94" s="51"/>
    </row>
    <row r="95" spans="1:56" ht="14.4" x14ac:dyDescent="0.3">
      <c r="A95" s="42">
        <v>94</v>
      </c>
      <c r="B95" s="2">
        <v>14340</v>
      </c>
      <c r="C95" s="53" t="s">
        <v>82</v>
      </c>
      <c r="D95" s="69">
        <v>68537</v>
      </c>
      <c r="E95" s="51">
        <f t="shared" si="24"/>
        <v>136.94784364643291</v>
      </c>
      <c r="F95" s="51">
        <f t="shared" si="18"/>
        <v>34.236960911608229</v>
      </c>
      <c r="G95" s="50">
        <v>46153</v>
      </c>
      <c r="H95" s="70">
        <v>500.4606</v>
      </c>
      <c r="I95" s="2">
        <v>25968936</v>
      </c>
      <c r="J95" s="49">
        <f t="shared" si="19"/>
        <v>20458.62</v>
      </c>
      <c r="K95" s="49">
        <f t="shared" si="16"/>
        <v>48078.380000000005</v>
      </c>
      <c r="L95" s="51">
        <v>20458.62</v>
      </c>
      <c r="M95" s="44">
        <v>75569</v>
      </c>
      <c r="N95" s="50">
        <v>46142</v>
      </c>
      <c r="O95" s="51">
        <v>489.55</v>
      </c>
      <c r="P95" s="51">
        <f t="shared" si="20"/>
        <v>41.790664896333361</v>
      </c>
      <c r="Q95" s="22"/>
      <c r="R95" s="2"/>
      <c r="S95" s="2"/>
      <c r="T95" s="51"/>
      <c r="U95" s="51"/>
      <c r="V95" s="22"/>
      <c r="W95" s="55"/>
      <c r="X95" s="2"/>
      <c r="Y95" s="51"/>
      <c r="Z95" s="51"/>
      <c r="AA95" s="53"/>
      <c r="AB95" s="53"/>
      <c r="AC95" s="53"/>
      <c r="AD95" s="51"/>
      <c r="AE95" s="51"/>
      <c r="AF95" s="53"/>
      <c r="AG95" s="53"/>
      <c r="AH95" s="53"/>
      <c r="AI95" s="51"/>
      <c r="AJ95" s="51"/>
      <c r="AK95" s="53"/>
      <c r="AL95" s="53"/>
      <c r="AM95" s="53"/>
      <c r="AN95" s="51"/>
      <c r="AO95" s="51"/>
      <c r="AP95" s="53"/>
      <c r="AQ95" s="53"/>
      <c r="AR95" s="53"/>
      <c r="AS95" s="51"/>
      <c r="AT95" s="51"/>
      <c r="AU95" s="53"/>
      <c r="AV95" s="53"/>
      <c r="AW95" s="53"/>
      <c r="AX95" s="51"/>
      <c r="AY95" s="51">
        <f t="shared" si="17"/>
        <v>0</v>
      </c>
      <c r="AZ95" s="55"/>
      <c r="BA95" s="55"/>
      <c r="BB95" s="55"/>
      <c r="BC95" s="51"/>
      <c r="BD95" s="51"/>
    </row>
    <row r="96" spans="1:56" ht="14.4" x14ac:dyDescent="0.3">
      <c r="A96" s="42">
        <v>95</v>
      </c>
      <c r="B96" s="2">
        <v>14339</v>
      </c>
      <c r="C96" s="53" t="s">
        <v>83</v>
      </c>
      <c r="D96" s="69">
        <v>127772.55</v>
      </c>
      <c r="E96" s="51">
        <f t="shared" si="24"/>
        <v>255.3099085122785</v>
      </c>
      <c r="F96" s="51">
        <f t="shared" si="18"/>
        <v>63.827477128069624</v>
      </c>
      <c r="G96" s="50">
        <v>46153</v>
      </c>
      <c r="H96" s="70">
        <v>500.4606</v>
      </c>
      <c r="I96" s="2">
        <v>24420307</v>
      </c>
      <c r="J96" s="49">
        <f t="shared" si="19"/>
        <v>24350</v>
      </c>
      <c r="K96" s="49">
        <f t="shared" si="16"/>
        <v>103422.55</v>
      </c>
      <c r="L96" s="51">
        <v>24350</v>
      </c>
      <c r="M96" s="44">
        <v>73762</v>
      </c>
      <c r="N96" s="50">
        <v>46142</v>
      </c>
      <c r="O96" s="51">
        <v>489.55</v>
      </c>
      <c r="P96" s="51">
        <f t="shared" si="20"/>
        <v>49.739556735777754</v>
      </c>
      <c r="Q96" s="22"/>
      <c r="R96" s="2"/>
      <c r="S96" s="2"/>
      <c r="T96" s="51"/>
      <c r="U96" s="51"/>
      <c r="V96" s="22"/>
      <c r="W96" s="53"/>
      <c r="X96" s="2"/>
      <c r="Y96" s="51"/>
      <c r="Z96" s="51"/>
      <c r="AA96" s="53"/>
      <c r="AB96" s="53"/>
      <c r="AC96" s="53"/>
      <c r="AD96" s="51"/>
      <c r="AE96" s="51"/>
      <c r="AF96" s="53"/>
      <c r="AG96" s="53"/>
      <c r="AH96" s="53"/>
      <c r="AI96" s="51"/>
      <c r="AJ96" s="51"/>
      <c r="AK96" s="53"/>
      <c r="AL96" s="53"/>
      <c r="AM96" s="53"/>
      <c r="AN96" s="51"/>
      <c r="AO96" s="51"/>
      <c r="AP96" s="53"/>
      <c r="AQ96" s="53"/>
      <c r="AR96" s="53"/>
      <c r="AS96" s="51"/>
      <c r="AT96" s="51"/>
      <c r="AU96" s="53"/>
      <c r="AV96" s="53"/>
      <c r="AW96" s="53"/>
      <c r="AX96" s="51"/>
      <c r="AY96" s="51">
        <f t="shared" si="17"/>
        <v>0</v>
      </c>
      <c r="AZ96" s="55"/>
      <c r="BA96" s="55"/>
      <c r="BB96" s="55"/>
      <c r="BC96" s="51"/>
      <c r="BD96" s="51"/>
    </row>
    <row r="97" spans="1:56" ht="14.4" x14ac:dyDescent="0.3">
      <c r="A97" s="42">
        <v>96</v>
      </c>
      <c r="B97" s="2">
        <v>14338</v>
      </c>
      <c r="C97" s="53" t="s">
        <v>84</v>
      </c>
      <c r="D97" s="69">
        <v>76369.789999999994</v>
      </c>
      <c r="E97" s="51">
        <f t="shared" si="24"/>
        <v>152.59900579586085</v>
      </c>
      <c r="F97" s="51">
        <f t="shared" si="18"/>
        <v>38.149751448965212</v>
      </c>
      <c r="G97" s="50">
        <v>46153</v>
      </c>
      <c r="H97" s="70">
        <v>500.4606</v>
      </c>
      <c r="I97" s="2">
        <v>19816908</v>
      </c>
      <c r="J97" s="49">
        <f t="shared" si="19"/>
        <v>37258.11</v>
      </c>
      <c r="K97" s="49">
        <f t="shared" si="16"/>
        <v>39111.679999999993</v>
      </c>
      <c r="L97" s="51">
        <v>22407.06</v>
      </c>
      <c r="M97" s="44">
        <v>350082</v>
      </c>
      <c r="N97" s="50">
        <v>46142</v>
      </c>
      <c r="O97" s="51">
        <v>489.55</v>
      </c>
      <c r="P97" s="51">
        <f t="shared" si="20"/>
        <v>45.770728219793689</v>
      </c>
      <c r="Q97" s="69">
        <v>14851.05</v>
      </c>
      <c r="R97" s="2">
        <v>605000345</v>
      </c>
      <c r="S97" s="5">
        <v>46171</v>
      </c>
      <c r="T97" s="51">
        <v>547.04100000000005</v>
      </c>
      <c r="U97" s="51">
        <f t="shared" si="21"/>
        <v>27.147965143380475</v>
      </c>
      <c r="V97" s="22"/>
      <c r="W97" s="53"/>
      <c r="X97" s="2"/>
      <c r="Y97" s="51"/>
      <c r="Z97" s="51"/>
      <c r="AA97" s="53"/>
      <c r="AB97" s="53"/>
      <c r="AC97" s="53"/>
      <c r="AD97" s="51"/>
      <c r="AE97" s="51"/>
      <c r="AF97" s="53"/>
      <c r="AG97" s="53"/>
      <c r="AH97" s="53"/>
      <c r="AI97" s="51"/>
      <c r="AJ97" s="51"/>
      <c r="AK97" s="53"/>
      <c r="AL97" s="53"/>
      <c r="AM97" s="53"/>
      <c r="AN97" s="51"/>
      <c r="AO97" s="51"/>
      <c r="AP97" s="53"/>
      <c r="AQ97" s="53"/>
      <c r="AR97" s="53"/>
      <c r="AS97" s="51"/>
      <c r="AT97" s="51"/>
      <c r="AU97" s="53"/>
      <c r="AV97" s="53"/>
      <c r="AW97" s="53"/>
      <c r="AX97" s="51"/>
      <c r="AY97" s="51">
        <f t="shared" si="17"/>
        <v>0</v>
      </c>
      <c r="AZ97" s="55"/>
      <c r="BA97" s="55"/>
      <c r="BB97" s="55"/>
      <c r="BC97" s="51"/>
      <c r="BD97" s="51"/>
    </row>
    <row r="98" spans="1:56" ht="14.4" x14ac:dyDescent="0.3">
      <c r="A98" s="42">
        <v>97</v>
      </c>
      <c r="B98" s="2">
        <v>14345</v>
      </c>
      <c r="C98" s="53" t="s">
        <v>129</v>
      </c>
      <c r="D98" s="69">
        <v>112106.95</v>
      </c>
      <c r="E98" s="51">
        <f t="shared" si="24"/>
        <v>224.00754425023666</v>
      </c>
      <c r="F98" s="51">
        <f t="shared" si="18"/>
        <v>56.001886062559166</v>
      </c>
      <c r="G98" s="50">
        <v>46153</v>
      </c>
      <c r="H98" s="70">
        <v>500.4606</v>
      </c>
      <c r="I98" s="2">
        <v>10576813</v>
      </c>
      <c r="J98" s="49">
        <f t="shared" si="19"/>
        <v>52331.89</v>
      </c>
      <c r="K98" s="49">
        <f t="shared" ref="K98:K129" si="26">D98-J98</f>
        <v>59775.06</v>
      </c>
      <c r="L98" s="51">
        <v>33610.589999999997</v>
      </c>
      <c r="M98" s="44">
        <v>20067</v>
      </c>
      <c r="N98" s="50">
        <v>46142</v>
      </c>
      <c r="O98" s="51">
        <v>489.55</v>
      </c>
      <c r="P98" s="51">
        <f t="shared" si="20"/>
        <v>68.656092329690523</v>
      </c>
      <c r="Q98" s="69">
        <v>18721.3</v>
      </c>
      <c r="R98" s="2">
        <v>605000345</v>
      </c>
      <c r="S98" s="5">
        <v>46171</v>
      </c>
      <c r="T98" s="51">
        <v>547.04100000000005</v>
      </c>
      <c r="U98" s="51">
        <f t="shared" si="21"/>
        <v>34.222846185203665</v>
      </c>
      <c r="V98" s="22"/>
      <c r="W98" s="53"/>
      <c r="X98" s="2"/>
      <c r="Y98" s="51"/>
      <c r="Z98" s="51"/>
      <c r="AA98" s="53"/>
      <c r="AB98" s="53"/>
      <c r="AC98" s="53"/>
      <c r="AD98" s="51"/>
      <c r="AE98" s="51"/>
      <c r="AF98" s="53"/>
      <c r="AG98" s="53"/>
      <c r="AH98" s="53"/>
      <c r="AI98" s="51"/>
      <c r="AJ98" s="51"/>
      <c r="AK98" s="53"/>
      <c r="AL98" s="53"/>
      <c r="AM98" s="53"/>
      <c r="AN98" s="51"/>
      <c r="AO98" s="51"/>
      <c r="AP98" s="53"/>
      <c r="AQ98" s="53"/>
      <c r="AR98" s="53"/>
      <c r="AS98" s="51"/>
      <c r="AT98" s="51"/>
      <c r="AU98" s="53"/>
      <c r="AV98" s="53"/>
      <c r="AW98" s="53"/>
      <c r="AX98" s="51"/>
      <c r="AY98" s="51">
        <f t="shared" ref="AY98:AY131" si="27">AU98/A98</f>
        <v>0</v>
      </c>
      <c r="AZ98" s="55"/>
      <c r="BA98" s="55"/>
      <c r="BB98" s="55"/>
      <c r="BC98" s="51"/>
      <c r="BD98" s="51"/>
    </row>
    <row r="99" spans="1:56" ht="14.4" x14ac:dyDescent="0.3">
      <c r="A99" s="42">
        <v>98</v>
      </c>
      <c r="B99" s="2">
        <v>14346</v>
      </c>
      <c r="C99" s="53" t="s">
        <v>85</v>
      </c>
      <c r="D99" s="69">
        <v>99378.65</v>
      </c>
      <c r="E99" s="51">
        <f t="shared" si="24"/>
        <v>198.57437328732769</v>
      </c>
      <c r="F99" s="51">
        <f t="shared" si="18"/>
        <v>49.643593321831922</v>
      </c>
      <c r="G99" s="50">
        <v>46153</v>
      </c>
      <c r="H99" s="70">
        <v>500.4606</v>
      </c>
      <c r="I99" s="2" t="s">
        <v>130</v>
      </c>
      <c r="J99" s="49">
        <f t="shared" si="19"/>
        <v>44185.55</v>
      </c>
      <c r="K99" s="49">
        <f t="shared" si="26"/>
        <v>55193.099999999991</v>
      </c>
      <c r="L99" s="51">
        <v>29862.55</v>
      </c>
      <c r="M99" s="44">
        <v>309117</v>
      </c>
      <c r="N99" s="50">
        <v>46146</v>
      </c>
      <c r="O99" s="51">
        <v>489.31319999999999</v>
      </c>
      <c r="P99" s="51">
        <f t="shared" si="20"/>
        <v>61.029520560655222</v>
      </c>
      <c r="Q99" s="45">
        <v>14323</v>
      </c>
      <c r="R99" s="52">
        <v>870705</v>
      </c>
      <c r="S99" s="46">
        <v>46190</v>
      </c>
      <c r="T99" s="70">
        <v>596.78240000000005</v>
      </c>
      <c r="U99" s="51">
        <f t="shared" si="21"/>
        <v>24.000372665145619</v>
      </c>
      <c r="V99" s="22"/>
      <c r="W99" s="53"/>
      <c r="X99" s="2"/>
      <c r="Y99" s="51"/>
      <c r="Z99" s="51"/>
      <c r="AA99" s="53"/>
      <c r="AB99" s="53"/>
      <c r="AC99" s="53"/>
      <c r="AD99" s="51"/>
      <c r="AE99" s="51"/>
      <c r="AF99" s="53"/>
      <c r="AG99" s="53"/>
      <c r="AH99" s="53"/>
      <c r="AI99" s="51"/>
      <c r="AJ99" s="51"/>
      <c r="AK99" s="53"/>
      <c r="AL99" s="53"/>
      <c r="AM99" s="53"/>
      <c r="AN99" s="51"/>
      <c r="AO99" s="51"/>
      <c r="AP99" s="53"/>
      <c r="AQ99" s="53"/>
      <c r="AR99" s="53"/>
      <c r="AS99" s="51"/>
      <c r="AT99" s="51"/>
      <c r="AU99" s="53"/>
      <c r="AV99" s="53"/>
      <c r="AW99" s="53"/>
      <c r="AX99" s="51"/>
      <c r="AY99" s="51">
        <f t="shared" si="27"/>
        <v>0</v>
      </c>
      <c r="AZ99" s="55"/>
      <c r="BA99" s="55"/>
      <c r="BB99" s="55"/>
      <c r="BC99" s="51"/>
      <c r="BD99" s="51"/>
    </row>
    <row r="100" spans="1:56" ht="14.4" x14ac:dyDescent="0.3">
      <c r="A100" s="42">
        <v>99</v>
      </c>
      <c r="B100" s="2">
        <v>14347</v>
      </c>
      <c r="C100" s="53" t="s">
        <v>131</v>
      </c>
      <c r="D100" s="69">
        <v>63151.95</v>
      </c>
      <c r="E100" s="51">
        <f t="shared" si="24"/>
        <v>126.18765593135603</v>
      </c>
      <c r="F100" s="51">
        <f t="shared" si="18"/>
        <v>31.546913982839008</v>
      </c>
      <c r="G100" s="50">
        <v>46153</v>
      </c>
      <c r="H100" s="70">
        <v>500.4606</v>
      </c>
      <c r="I100" s="2">
        <v>31096358</v>
      </c>
      <c r="J100" s="49">
        <f t="shared" si="19"/>
        <v>28052.400000000001</v>
      </c>
      <c r="K100" s="49">
        <f t="shared" si="26"/>
        <v>35099.549999999996</v>
      </c>
      <c r="L100" s="51">
        <v>14686.5</v>
      </c>
      <c r="M100" s="44">
        <v>122279</v>
      </c>
      <c r="N100" s="50">
        <v>46146</v>
      </c>
      <c r="O100" s="51">
        <v>489.31319999999999</v>
      </c>
      <c r="P100" s="51">
        <f t="shared" si="20"/>
        <v>30.014518308518962</v>
      </c>
      <c r="Q100" s="69">
        <v>13365.9</v>
      </c>
      <c r="R100" s="2">
        <v>605000345</v>
      </c>
      <c r="S100" s="5">
        <v>46171</v>
      </c>
      <c r="T100" s="51">
        <v>547.04100000000005</v>
      </c>
      <c r="U100" s="51">
        <f t="shared" si="21"/>
        <v>24.433086368297804</v>
      </c>
      <c r="V100" s="22"/>
      <c r="W100" s="53"/>
      <c r="X100" s="2"/>
      <c r="Y100" s="51"/>
      <c r="Z100" s="51"/>
      <c r="AA100" s="53"/>
      <c r="AB100" s="53"/>
      <c r="AC100" s="53"/>
      <c r="AD100" s="51"/>
      <c r="AE100" s="51"/>
      <c r="AF100" s="53"/>
      <c r="AG100" s="53"/>
      <c r="AH100" s="53"/>
      <c r="AI100" s="51"/>
      <c r="AJ100" s="51"/>
      <c r="AK100" s="53"/>
      <c r="AL100" s="53"/>
      <c r="AM100" s="53"/>
      <c r="AN100" s="51"/>
      <c r="AO100" s="51"/>
      <c r="AP100" s="53"/>
      <c r="AQ100" s="53"/>
      <c r="AR100" s="53"/>
      <c r="AS100" s="51"/>
      <c r="AT100" s="51"/>
      <c r="AU100" s="53"/>
      <c r="AV100" s="53"/>
      <c r="AW100" s="53"/>
      <c r="AX100" s="51"/>
      <c r="AY100" s="51">
        <f t="shared" si="27"/>
        <v>0</v>
      </c>
      <c r="AZ100" s="55"/>
      <c r="BA100" s="55"/>
      <c r="BB100" s="55"/>
      <c r="BC100" s="51"/>
      <c r="BD100" s="51"/>
    </row>
    <row r="101" spans="1:56" ht="14.4" x14ac:dyDescent="0.3">
      <c r="A101" s="42">
        <v>100</v>
      </c>
      <c r="B101" s="2">
        <v>14348</v>
      </c>
      <c r="C101" s="53" t="s">
        <v>74</v>
      </c>
      <c r="D101" s="67">
        <v>15176.05</v>
      </c>
      <c r="E101" s="51">
        <f t="shared" si="24"/>
        <v>30.324165378852999</v>
      </c>
      <c r="F101" s="51">
        <f t="shared" si="18"/>
        <v>7.5810413447132499</v>
      </c>
      <c r="G101" s="50">
        <v>46153</v>
      </c>
      <c r="H101" s="70">
        <v>500.4606</v>
      </c>
      <c r="I101" s="2">
        <v>26573762</v>
      </c>
      <c r="J101" s="49">
        <f t="shared" si="19"/>
        <v>10073</v>
      </c>
      <c r="K101" s="49">
        <f t="shared" si="26"/>
        <v>5103.0499999999993</v>
      </c>
      <c r="L101" s="51">
        <v>4406</v>
      </c>
      <c r="M101" s="44">
        <v>61532</v>
      </c>
      <c r="N101" s="50">
        <v>46146</v>
      </c>
      <c r="O101" s="51">
        <v>489.31319999999999</v>
      </c>
      <c r="P101" s="51">
        <f t="shared" si="20"/>
        <v>9.0044576765965036</v>
      </c>
      <c r="Q101" s="14">
        <v>5667</v>
      </c>
      <c r="R101" s="38">
        <v>276063</v>
      </c>
      <c r="S101" s="12">
        <v>46157</v>
      </c>
      <c r="T101" s="51">
        <v>515.17999999999995</v>
      </c>
      <c r="U101" s="51">
        <f t="shared" si="21"/>
        <v>11.00003882138282</v>
      </c>
      <c r="V101" s="22"/>
      <c r="W101" s="53"/>
      <c r="X101" s="2"/>
      <c r="Y101" s="51"/>
      <c r="Z101" s="51"/>
      <c r="AA101" s="53"/>
      <c r="AB101" s="53"/>
      <c r="AC101" s="53"/>
      <c r="AD101" s="51"/>
      <c r="AE101" s="51"/>
      <c r="AF101" s="53"/>
      <c r="AG101" s="53"/>
      <c r="AH101" s="53"/>
      <c r="AI101" s="51"/>
      <c r="AJ101" s="51"/>
      <c r="AK101" s="53"/>
      <c r="AL101" s="53"/>
      <c r="AM101" s="53"/>
      <c r="AN101" s="51"/>
      <c r="AO101" s="51"/>
      <c r="AP101" s="53"/>
      <c r="AQ101" s="53"/>
      <c r="AR101" s="53"/>
      <c r="AS101" s="51"/>
      <c r="AT101" s="51"/>
      <c r="AU101" s="53"/>
      <c r="AV101" s="53"/>
      <c r="AW101" s="53"/>
      <c r="AX101" s="51"/>
      <c r="AY101" s="51">
        <f t="shared" si="27"/>
        <v>0</v>
      </c>
      <c r="AZ101" s="55"/>
      <c r="BA101" s="55"/>
      <c r="BB101" s="55"/>
      <c r="BC101" s="51"/>
      <c r="BD101" s="51"/>
    </row>
    <row r="102" spans="1:56" ht="14.4" x14ac:dyDescent="0.3">
      <c r="A102" s="42">
        <v>101</v>
      </c>
      <c r="B102" s="2">
        <v>14349</v>
      </c>
      <c r="C102" s="53" t="s">
        <v>86</v>
      </c>
      <c r="D102" s="69">
        <v>170363.4</v>
      </c>
      <c r="E102" s="51">
        <f t="shared" si="24"/>
        <v>340.41321134970462</v>
      </c>
      <c r="F102" s="51">
        <f t="shared" si="18"/>
        <v>85.103302837426156</v>
      </c>
      <c r="G102" s="50">
        <v>46153</v>
      </c>
      <c r="H102" s="70">
        <v>500.4606</v>
      </c>
      <c r="I102" s="2">
        <v>27759085</v>
      </c>
      <c r="J102" s="49">
        <f t="shared" si="19"/>
        <v>85200.1</v>
      </c>
      <c r="K102" s="49">
        <f t="shared" si="26"/>
        <v>85163.299999999988</v>
      </c>
      <c r="L102" s="51">
        <v>51402.75</v>
      </c>
      <c r="M102" s="44">
        <v>232516</v>
      </c>
      <c r="N102" s="50">
        <v>46146</v>
      </c>
      <c r="O102" s="51">
        <v>489.31319999999999</v>
      </c>
      <c r="P102" s="51">
        <f t="shared" si="20"/>
        <v>105.05081407981636</v>
      </c>
      <c r="Q102" s="51">
        <v>33797.35</v>
      </c>
      <c r="R102" s="24">
        <v>14077</v>
      </c>
      <c r="S102" s="5">
        <v>46182</v>
      </c>
      <c r="T102" s="51">
        <v>567.68280000000004</v>
      </c>
      <c r="U102" s="51">
        <f t="shared" si="21"/>
        <v>59.535624471976242</v>
      </c>
      <c r="V102" s="22"/>
      <c r="W102" s="53"/>
      <c r="X102" s="2"/>
      <c r="Y102" s="51"/>
      <c r="Z102" s="51"/>
      <c r="AA102" s="53"/>
      <c r="AB102" s="53"/>
      <c r="AC102" s="53"/>
      <c r="AD102" s="51"/>
      <c r="AE102" s="51"/>
      <c r="AF102" s="53"/>
      <c r="AG102" s="53"/>
      <c r="AH102" s="53"/>
      <c r="AI102" s="51"/>
      <c r="AJ102" s="51"/>
      <c r="AK102" s="53"/>
      <c r="AL102" s="53"/>
      <c r="AM102" s="53"/>
      <c r="AN102" s="51"/>
      <c r="AO102" s="51"/>
      <c r="AP102" s="53"/>
      <c r="AQ102" s="53"/>
      <c r="AR102" s="53"/>
      <c r="AS102" s="51"/>
      <c r="AT102" s="51"/>
      <c r="AU102" s="53"/>
      <c r="AV102" s="53"/>
      <c r="AW102" s="53"/>
      <c r="AX102" s="51"/>
      <c r="AY102" s="51">
        <f t="shared" si="27"/>
        <v>0</v>
      </c>
      <c r="AZ102" s="55"/>
      <c r="BA102" s="55"/>
      <c r="BB102" s="55"/>
      <c r="BC102" s="51"/>
      <c r="BD102" s="51"/>
    </row>
    <row r="103" spans="1:56" ht="14.4" x14ac:dyDescent="0.3">
      <c r="A103" s="42">
        <v>102</v>
      </c>
      <c r="B103" s="2">
        <v>14350</v>
      </c>
      <c r="C103" s="53" t="s">
        <v>87</v>
      </c>
      <c r="D103" s="69">
        <v>175748.44</v>
      </c>
      <c r="E103" s="51">
        <f t="shared" si="24"/>
        <v>351.17337908318859</v>
      </c>
      <c r="F103" s="51">
        <f t="shared" si="18"/>
        <v>87.793344770797148</v>
      </c>
      <c r="G103" s="50">
        <v>46153</v>
      </c>
      <c r="H103" s="70">
        <v>500.4606</v>
      </c>
      <c r="I103" s="2">
        <v>31692661</v>
      </c>
      <c r="J103" s="49">
        <f t="shared" si="19"/>
        <v>68685.52</v>
      </c>
      <c r="K103" s="49">
        <f t="shared" si="26"/>
        <v>107062.92</v>
      </c>
      <c r="L103" s="51">
        <v>52871.4</v>
      </c>
      <c r="M103" s="44">
        <v>230351</v>
      </c>
      <c r="N103" s="50">
        <v>46146</v>
      </c>
      <c r="O103" s="51">
        <v>489.31319999999999</v>
      </c>
      <c r="P103" s="51">
        <f t="shared" si="20"/>
        <v>108.05226591066827</v>
      </c>
      <c r="Q103" s="69">
        <v>15814.12</v>
      </c>
      <c r="R103" s="2">
        <v>605000345</v>
      </c>
      <c r="S103" s="5">
        <v>46171</v>
      </c>
      <c r="T103" s="51">
        <v>547.04100000000005</v>
      </c>
      <c r="U103" s="51">
        <f t="shared" si="21"/>
        <v>28.908473039497952</v>
      </c>
      <c r="V103" s="22"/>
      <c r="W103" s="53"/>
      <c r="X103" s="2"/>
      <c r="Y103" s="51"/>
      <c r="Z103" s="51"/>
      <c r="AA103" s="53"/>
      <c r="AB103" s="53"/>
      <c r="AC103" s="53"/>
      <c r="AD103" s="51"/>
      <c r="AE103" s="51"/>
      <c r="AF103" s="53"/>
      <c r="AG103" s="53"/>
      <c r="AH103" s="53"/>
      <c r="AI103" s="51"/>
      <c r="AJ103" s="51"/>
      <c r="AK103" s="53"/>
      <c r="AL103" s="53"/>
      <c r="AM103" s="53"/>
      <c r="AN103" s="51"/>
      <c r="AO103" s="51"/>
      <c r="AP103" s="53"/>
      <c r="AQ103" s="53"/>
      <c r="AR103" s="53"/>
      <c r="AS103" s="51"/>
      <c r="AT103" s="51"/>
      <c r="AU103" s="53"/>
      <c r="AV103" s="53"/>
      <c r="AW103" s="53"/>
      <c r="AX103" s="51"/>
      <c r="AY103" s="51">
        <f t="shared" si="27"/>
        <v>0</v>
      </c>
      <c r="AZ103" s="55"/>
      <c r="BA103" s="55"/>
      <c r="BB103" s="55"/>
      <c r="BC103" s="51"/>
      <c r="BD103" s="51"/>
    </row>
    <row r="104" spans="1:56" ht="14.4" x14ac:dyDescent="0.3">
      <c r="A104" s="42">
        <v>103</v>
      </c>
      <c r="B104" s="2">
        <v>14351</v>
      </c>
      <c r="C104" s="53" t="s">
        <v>88</v>
      </c>
      <c r="D104" s="69">
        <v>101336.85</v>
      </c>
      <c r="E104" s="51">
        <f t="shared" si="24"/>
        <v>202.48716882008296</v>
      </c>
      <c r="F104" s="51">
        <f t="shared" si="18"/>
        <v>50.621792205020739</v>
      </c>
      <c r="G104" s="50">
        <v>46153</v>
      </c>
      <c r="H104" s="70">
        <v>500.4606</v>
      </c>
      <c r="I104" s="2">
        <v>28414265</v>
      </c>
      <c r="J104" s="49">
        <f t="shared" si="19"/>
        <v>44708.09</v>
      </c>
      <c r="K104" s="49">
        <f t="shared" si="26"/>
        <v>56628.760000000009</v>
      </c>
      <c r="L104" s="51">
        <v>30352.1</v>
      </c>
      <c r="M104" s="44">
        <v>371344</v>
      </c>
      <c r="N104" s="50">
        <v>46146</v>
      </c>
      <c r="O104" s="51">
        <v>489.31319999999999</v>
      </c>
      <c r="P104" s="51">
        <f t="shared" si="20"/>
        <v>62.030004504272519</v>
      </c>
      <c r="Q104" s="69">
        <v>14355.99</v>
      </c>
      <c r="R104" s="2">
        <v>605000345</v>
      </c>
      <c r="S104" s="5">
        <v>46171</v>
      </c>
      <c r="T104" s="51">
        <v>547.04100000000005</v>
      </c>
      <c r="U104" s="51">
        <f t="shared" si="21"/>
        <v>26.242987271520779</v>
      </c>
      <c r="V104" s="22"/>
      <c r="W104" s="53"/>
      <c r="X104" s="2"/>
      <c r="Y104" s="51"/>
      <c r="Z104" s="51"/>
      <c r="AA104" s="53"/>
      <c r="AB104" s="53"/>
      <c r="AC104" s="53"/>
      <c r="AD104" s="51"/>
      <c r="AE104" s="51"/>
      <c r="AF104" s="53"/>
      <c r="AG104" s="53"/>
      <c r="AH104" s="53"/>
      <c r="AI104" s="51"/>
      <c r="AJ104" s="51"/>
      <c r="AK104" s="53"/>
      <c r="AL104" s="53"/>
      <c r="AM104" s="53"/>
      <c r="AN104" s="51"/>
      <c r="AO104" s="51"/>
      <c r="AP104" s="53"/>
      <c r="AQ104" s="53"/>
      <c r="AR104" s="53"/>
      <c r="AS104" s="51"/>
      <c r="AT104" s="51"/>
      <c r="AU104" s="53"/>
      <c r="AV104" s="53"/>
      <c r="AW104" s="53"/>
      <c r="AX104" s="51"/>
      <c r="AY104" s="51">
        <f t="shared" si="27"/>
        <v>0</v>
      </c>
      <c r="AZ104" s="55"/>
      <c r="BA104" s="55"/>
      <c r="BB104" s="55"/>
      <c r="BC104" s="51"/>
      <c r="BD104" s="51"/>
    </row>
    <row r="105" spans="1:56" ht="14.4" x14ac:dyDescent="0.3">
      <c r="A105" s="42">
        <v>104</v>
      </c>
      <c r="B105" s="2">
        <v>14352</v>
      </c>
      <c r="C105" s="53" t="s">
        <v>89</v>
      </c>
      <c r="D105" s="69">
        <v>46017.7</v>
      </c>
      <c r="E105" s="51">
        <f t="shared" si="24"/>
        <v>91.950695019747798</v>
      </c>
      <c r="F105" s="51">
        <f t="shared" si="18"/>
        <v>22.987673754936949</v>
      </c>
      <c r="G105" s="50">
        <v>46153</v>
      </c>
      <c r="H105" s="70">
        <v>500.4606</v>
      </c>
      <c r="I105" s="2">
        <v>24710766</v>
      </c>
      <c r="J105" s="49">
        <f t="shared" si="19"/>
        <v>13707.4</v>
      </c>
      <c r="K105" s="49">
        <f t="shared" si="26"/>
        <v>32310.299999999996</v>
      </c>
      <c r="L105" s="51">
        <v>13707.4</v>
      </c>
      <c r="M105" s="44">
        <v>423695</v>
      </c>
      <c r="N105" s="50">
        <v>46146</v>
      </c>
      <c r="O105" s="51">
        <v>489.31319999999999</v>
      </c>
      <c r="P105" s="51">
        <f t="shared" si="20"/>
        <v>28.013550421284364</v>
      </c>
      <c r="Q105" s="22"/>
      <c r="R105" s="2"/>
      <c r="S105" s="2"/>
      <c r="T105" s="51"/>
      <c r="U105" s="51"/>
      <c r="V105" s="22"/>
      <c r="W105" s="53"/>
      <c r="X105" s="2"/>
      <c r="Y105" s="51"/>
      <c r="Z105" s="51"/>
      <c r="AA105" s="53"/>
      <c r="AB105" s="53"/>
      <c r="AC105" s="53"/>
      <c r="AD105" s="51"/>
      <c r="AE105" s="51"/>
      <c r="AF105" s="53"/>
      <c r="AG105" s="53"/>
      <c r="AH105" s="53"/>
      <c r="AI105" s="51"/>
      <c r="AJ105" s="51"/>
      <c r="AK105" s="53"/>
      <c r="AL105" s="53"/>
      <c r="AM105" s="53"/>
      <c r="AN105" s="51"/>
      <c r="AO105" s="51"/>
      <c r="AP105" s="53"/>
      <c r="AQ105" s="53"/>
      <c r="AR105" s="53"/>
      <c r="AS105" s="51"/>
      <c r="AT105" s="51"/>
      <c r="AU105" s="53"/>
      <c r="AV105" s="53"/>
      <c r="AW105" s="53"/>
      <c r="AX105" s="51"/>
      <c r="AY105" s="51">
        <f t="shared" si="27"/>
        <v>0</v>
      </c>
      <c r="AZ105" s="55"/>
      <c r="BA105" s="55"/>
      <c r="BB105" s="55"/>
      <c r="BC105" s="51"/>
      <c r="BD105" s="51"/>
    </row>
    <row r="106" spans="1:56" ht="14.4" x14ac:dyDescent="0.3">
      <c r="A106" s="42">
        <v>105</v>
      </c>
      <c r="B106" s="2">
        <v>14353</v>
      </c>
      <c r="C106" s="53" t="s">
        <v>132</v>
      </c>
      <c r="D106" s="69">
        <v>90077.2</v>
      </c>
      <c r="E106" s="51">
        <f t="shared" si="24"/>
        <v>179.98859450674038</v>
      </c>
      <c r="F106" s="51">
        <f t="shared" si="18"/>
        <v>44.997148626685096</v>
      </c>
      <c r="G106" s="50">
        <v>46153</v>
      </c>
      <c r="H106" s="70">
        <v>500.4606</v>
      </c>
      <c r="I106" s="2">
        <v>19722361</v>
      </c>
      <c r="J106" s="49">
        <f t="shared" si="19"/>
        <v>44341.45</v>
      </c>
      <c r="K106" s="49">
        <f t="shared" si="26"/>
        <v>45735.75</v>
      </c>
      <c r="L106" s="51">
        <v>26925.25</v>
      </c>
      <c r="M106" s="44">
        <v>489926</v>
      </c>
      <c r="N106" s="50">
        <v>46146</v>
      </c>
      <c r="O106" s="51">
        <v>489.31319999999999</v>
      </c>
      <c r="P106" s="51">
        <f t="shared" si="20"/>
        <v>55.026616898951431</v>
      </c>
      <c r="Q106" s="69">
        <v>17416.2</v>
      </c>
      <c r="R106" s="2">
        <v>605000345</v>
      </c>
      <c r="S106" s="5">
        <v>46171</v>
      </c>
      <c r="T106" s="51">
        <v>547.04100000000005</v>
      </c>
      <c r="U106" s="51">
        <f t="shared" si="21"/>
        <v>31.837101789445395</v>
      </c>
      <c r="V106" s="22"/>
      <c r="W106" s="53"/>
      <c r="X106" s="2"/>
      <c r="Y106" s="51"/>
      <c r="Z106" s="51"/>
      <c r="AA106" s="53"/>
      <c r="AB106" s="53"/>
      <c r="AC106" s="53"/>
      <c r="AD106" s="51"/>
      <c r="AE106" s="51"/>
      <c r="AF106" s="53"/>
      <c r="AG106" s="53"/>
      <c r="AH106" s="53"/>
      <c r="AI106" s="51"/>
      <c r="AJ106" s="51"/>
      <c r="AK106" s="53"/>
      <c r="AL106" s="53"/>
      <c r="AM106" s="53"/>
      <c r="AN106" s="51"/>
      <c r="AO106" s="51"/>
      <c r="AP106" s="53"/>
      <c r="AQ106" s="53"/>
      <c r="AR106" s="53"/>
      <c r="AS106" s="51"/>
      <c r="AT106" s="51"/>
      <c r="AU106" s="53"/>
      <c r="AV106" s="53"/>
      <c r="AW106" s="53"/>
      <c r="AX106" s="51"/>
      <c r="AY106" s="51">
        <f t="shared" si="27"/>
        <v>0</v>
      </c>
      <c r="AZ106" s="55"/>
      <c r="BA106" s="55"/>
      <c r="BB106" s="55"/>
      <c r="BC106" s="51"/>
      <c r="BD106" s="51"/>
    </row>
    <row r="107" spans="1:56" ht="14.4" x14ac:dyDescent="0.3">
      <c r="A107" s="42">
        <v>106</v>
      </c>
      <c r="B107" s="2">
        <v>14354</v>
      </c>
      <c r="C107" s="53" t="s">
        <v>90</v>
      </c>
      <c r="D107" s="69">
        <v>140990.39000000001</v>
      </c>
      <c r="E107" s="51">
        <f t="shared" si="24"/>
        <v>281.72125837678334</v>
      </c>
      <c r="F107" s="51">
        <f t="shared" si="18"/>
        <v>70.430314594195835</v>
      </c>
      <c r="G107" s="50">
        <v>46153</v>
      </c>
      <c r="H107" s="70">
        <v>500.4606</v>
      </c>
      <c r="I107" s="2">
        <v>28600911</v>
      </c>
      <c r="J107" s="49">
        <f t="shared" si="19"/>
        <v>42101.3</v>
      </c>
      <c r="K107" s="49">
        <f t="shared" si="26"/>
        <v>98889.090000000011</v>
      </c>
      <c r="L107" s="51">
        <v>42101.3</v>
      </c>
      <c r="M107" s="44">
        <v>844788</v>
      </c>
      <c r="N107" s="50">
        <v>46146</v>
      </c>
      <c r="O107" s="51">
        <v>489.31319999999999</v>
      </c>
      <c r="P107" s="51">
        <f t="shared" si="20"/>
        <v>86.041619151087701</v>
      </c>
      <c r="Q107" s="22"/>
      <c r="R107" s="2"/>
      <c r="S107" s="2"/>
      <c r="T107" s="51"/>
      <c r="U107" s="51"/>
      <c r="V107" s="22"/>
      <c r="W107" s="53"/>
      <c r="X107" s="2"/>
      <c r="Y107" s="51"/>
      <c r="Z107" s="51"/>
      <c r="AA107" s="53"/>
      <c r="AB107" s="53"/>
      <c r="AC107" s="53"/>
      <c r="AD107" s="51"/>
      <c r="AE107" s="51"/>
      <c r="AF107" s="53"/>
      <c r="AG107" s="53"/>
      <c r="AH107" s="53"/>
      <c r="AI107" s="51"/>
      <c r="AJ107" s="51"/>
      <c r="AK107" s="53"/>
      <c r="AL107" s="53"/>
      <c r="AM107" s="53"/>
      <c r="AN107" s="51"/>
      <c r="AO107" s="51"/>
      <c r="AP107" s="53"/>
      <c r="AQ107" s="53"/>
      <c r="AR107" s="53"/>
      <c r="AS107" s="51"/>
      <c r="AT107" s="51"/>
      <c r="AU107" s="53"/>
      <c r="AV107" s="53"/>
      <c r="AW107" s="53"/>
      <c r="AX107" s="51"/>
      <c r="AY107" s="51">
        <f t="shared" si="27"/>
        <v>0</v>
      </c>
      <c r="AZ107" s="55"/>
      <c r="BA107" s="55"/>
      <c r="BB107" s="55"/>
      <c r="BC107" s="51"/>
      <c r="BD107" s="51"/>
    </row>
    <row r="108" spans="1:56" ht="14.4" x14ac:dyDescent="0.3">
      <c r="A108" s="42">
        <v>107</v>
      </c>
      <c r="B108" s="2">
        <v>14355</v>
      </c>
      <c r="C108" s="53" t="s">
        <v>91</v>
      </c>
      <c r="D108" s="69">
        <v>25456.59</v>
      </c>
      <c r="E108" s="51">
        <f t="shared" si="24"/>
        <v>50.866321944224978</v>
      </c>
      <c r="F108" s="51">
        <f t="shared" si="18"/>
        <v>12.716580486056245</v>
      </c>
      <c r="G108" s="50">
        <v>46153</v>
      </c>
      <c r="H108" s="70">
        <v>500.4606</v>
      </c>
      <c r="I108" s="2">
        <v>25657438</v>
      </c>
      <c r="J108" s="49">
        <f t="shared" si="19"/>
        <v>15242.3</v>
      </c>
      <c r="K108" s="49">
        <f t="shared" si="26"/>
        <v>10214.290000000001</v>
      </c>
      <c r="L108" s="51">
        <v>9302</v>
      </c>
      <c r="M108" s="44">
        <v>888971</v>
      </c>
      <c r="N108" s="50">
        <v>46146</v>
      </c>
      <c r="O108" s="51">
        <v>489.31319999999999</v>
      </c>
      <c r="P108" s="51">
        <f t="shared" si="20"/>
        <v>19.010318953177638</v>
      </c>
      <c r="Q108" s="69">
        <v>5940.3</v>
      </c>
      <c r="R108" s="2">
        <v>605000345</v>
      </c>
      <c r="S108" s="5">
        <v>46171</v>
      </c>
      <c r="T108" s="51">
        <v>547.04100000000005</v>
      </c>
      <c r="U108" s="51">
        <f t="shared" si="21"/>
        <v>10.858966695366526</v>
      </c>
      <c r="V108" s="22"/>
      <c r="W108" s="53"/>
      <c r="X108" s="2"/>
      <c r="Y108" s="51"/>
      <c r="Z108" s="51"/>
      <c r="AA108" s="53"/>
      <c r="AB108" s="53"/>
      <c r="AC108" s="53"/>
      <c r="AD108" s="51"/>
      <c r="AE108" s="51"/>
      <c r="AF108" s="53"/>
      <c r="AG108" s="53"/>
      <c r="AH108" s="53"/>
      <c r="AI108" s="51"/>
      <c r="AJ108" s="51"/>
      <c r="AK108" s="53"/>
      <c r="AL108" s="53"/>
      <c r="AM108" s="53"/>
      <c r="AN108" s="51"/>
      <c r="AO108" s="51"/>
      <c r="AP108" s="53"/>
      <c r="AQ108" s="53"/>
      <c r="AR108" s="53"/>
      <c r="AS108" s="51"/>
      <c r="AT108" s="51"/>
      <c r="AU108" s="53"/>
      <c r="AV108" s="53"/>
      <c r="AW108" s="53"/>
      <c r="AX108" s="51"/>
      <c r="AY108" s="51">
        <f t="shared" si="27"/>
        <v>0</v>
      </c>
      <c r="AZ108" s="55"/>
      <c r="BA108" s="55"/>
      <c r="BB108" s="55"/>
      <c r="BC108" s="51"/>
      <c r="BD108" s="51"/>
    </row>
    <row r="109" spans="1:56" ht="14.4" x14ac:dyDescent="0.3">
      <c r="A109" s="42">
        <v>108</v>
      </c>
      <c r="B109" s="2">
        <v>14356</v>
      </c>
      <c r="C109" s="53" t="s">
        <v>92</v>
      </c>
      <c r="D109" s="69">
        <v>36226.71</v>
      </c>
      <c r="E109" s="51">
        <f t="shared" si="24"/>
        <v>72.386737337564639</v>
      </c>
      <c r="F109" s="51">
        <f t="shared" si="18"/>
        <v>18.09668433439116</v>
      </c>
      <c r="G109" s="50">
        <v>46153</v>
      </c>
      <c r="H109" s="70">
        <v>500.4606</v>
      </c>
      <c r="I109" s="2">
        <v>32807252</v>
      </c>
      <c r="J109" s="49">
        <f t="shared" si="19"/>
        <v>17861.46</v>
      </c>
      <c r="K109" s="49">
        <f t="shared" si="26"/>
        <v>18365.25</v>
      </c>
      <c r="L109" s="51">
        <v>10868.01</v>
      </c>
      <c r="M109" s="44">
        <v>588035</v>
      </c>
      <c r="N109" s="50">
        <v>46146</v>
      </c>
      <c r="O109" s="51">
        <v>489.31319999999999</v>
      </c>
      <c r="P109" s="51">
        <f t="shared" si="20"/>
        <v>22.210743548304031</v>
      </c>
      <c r="Q109" s="69">
        <v>6993.45</v>
      </c>
      <c r="R109" s="2">
        <v>605000345</v>
      </c>
      <c r="S109" s="5">
        <v>46171</v>
      </c>
      <c r="T109" s="51">
        <v>547.04100000000005</v>
      </c>
      <c r="U109" s="51">
        <f t="shared" si="21"/>
        <v>12.784142322056297</v>
      </c>
      <c r="V109" s="22"/>
      <c r="W109" s="53"/>
      <c r="X109" s="2"/>
      <c r="Y109" s="51"/>
      <c r="Z109" s="51"/>
      <c r="AA109" s="53"/>
      <c r="AB109" s="53"/>
      <c r="AC109" s="53"/>
      <c r="AD109" s="51"/>
      <c r="AE109" s="51"/>
      <c r="AF109" s="53"/>
      <c r="AG109" s="53"/>
      <c r="AH109" s="53"/>
      <c r="AI109" s="51"/>
      <c r="AJ109" s="51"/>
      <c r="AK109" s="53"/>
      <c r="AL109" s="53"/>
      <c r="AM109" s="53"/>
      <c r="AN109" s="51"/>
      <c r="AO109" s="51"/>
      <c r="AP109" s="53"/>
      <c r="AQ109" s="53"/>
      <c r="AR109" s="53"/>
      <c r="AS109" s="51"/>
      <c r="AT109" s="51"/>
      <c r="AU109" s="53"/>
      <c r="AV109" s="53"/>
      <c r="AW109" s="53"/>
      <c r="AX109" s="51"/>
      <c r="AY109" s="51">
        <f t="shared" si="27"/>
        <v>0</v>
      </c>
      <c r="AZ109" s="55"/>
      <c r="BA109" s="55"/>
      <c r="BB109" s="55"/>
      <c r="BC109" s="51"/>
      <c r="BD109" s="51"/>
    </row>
    <row r="110" spans="1:56" ht="14.4" x14ac:dyDescent="0.3">
      <c r="A110" s="42">
        <v>109</v>
      </c>
      <c r="B110" s="2">
        <v>14360</v>
      </c>
      <c r="C110" s="53" t="s">
        <v>93</v>
      </c>
      <c r="D110" s="67">
        <v>281491.24</v>
      </c>
      <c r="E110" s="51">
        <f t="shared" si="24"/>
        <v>562.46433785197075</v>
      </c>
      <c r="F110" s="51">
        <f t="shared" si="18"/>
        <v>140.61608446299269</v>
      </c>
      <c r="G110" s="50">
        <v>46153</v>
      </c>
      <c r="H110" s="70">
        <v>500.4606</v>
      </c>
      <c r="I110" s="2">
        <v>16113972</v>
      </c>
      <c r="J110" s="49">
        <f t="shared" si="19"/>
        <v>167140.69</v>
      </c>
      <c r="K110" s="49">
        <f t="shared" si="26"/>
        <v>114350.54999999999</v>
      </c>
      <c r="L110" s="51">
        <v>72986.5</v>
      </c>
      <c r="M110" s="44">
        <v>944256</v>
      </c>
      <c r="N110" s="50">
        <v>46146</v>
      </c>
      <c r="O110" s="51">
        <v>489.31319999999999</v>
      </c>
      <c r="P110" s="51">
        <f t="shared" si="20"/>
        <v>149.16110989852717</v>
      </c>
      <c r="Q110" s="14">
        <v>43790.3</v>
      </c>
      <c r="R110" s="38">
        <v>598231</v>
      </c>
      <c r="S110" s="12">
        <v>46157</v>
      </c>
      <c r="T110" s="51">
        <v>515.17999999999995</v>
      </c>
      <c r="U110" s="51">
        <f t="shared" si="21"/>
        <v>85.000000000000014</v>
      </c>
      <c r="V110" s="45">
        <v>50363.89</v>
      </c>
      <c r="W110" s="52">
        <v>593259</v>
      </c>
      <c r="X110" s="46">
        <v>46189</v>
      </c>
      <c r="Y110" s="51">
        <v>592.5163</v>
      </c>
      <c r="Z110" s="51">
        <f t="shared" si="22"/>
        <v>85.000007594727776</v>
      </c>
      <c r="AA110" s="53"/>
      <c r="AB110" s="53"/>
      <c r="AC110" s="53"/>
      <c r="AD110" s="51"/>
      <c r="AE110" s="51"/>
      <c r="AF110" s="53"/>
      <c r="AG110" s="53"/>
      <c r="AH110" s="53"/>
      <c r="AI110" s="51"/>
      <c r="AJ110" s="51"/>
      <c r="AK110" s="53"/>
      <c r="AL110" s="53"/>
      <c r="AM110" s="53"/>
      <c r="AN110" s="51"/>
      <c r="AO110" s="51"/>
      <c r="AP110" s="53"/>
      <c r="AQ110" s="53"/>
      <c r="AR110" s="53"/>
      <c r="AS110" s="51"/>
      <c r="AT110" s="51"/>
      <c r="AU110" s="53"/>
      <c r="AV110" s="53"/>
      <c r="AW110" s="53"/>
      <c r="AX110" s="51"/>
      <c r="AY110" s="51">
        <f t="shared" si="27"/>
        <v>0</v>
      </c>
      <c r="AZ110" s="55"/>
      <c r="BA110" s="55"/>
      <c r="BB110" s="55"/>
      <c r="BC110" s="51"/>
      <c r="BD110" s="51"/>
    </row>
    <row r="111" spans="1:56" ht="14.4" x14ac:dyDescent="0.3">
      <c r="A111" s="42">
        <v>110</v>
      </c>
      <c r="B111" s="2">
        <v>14361</v>
      </c>
      <c r="C111" s="53" t="s">
        <v>133</v>
      </c>
      <c r="D111" s="69">
        <v>188467.33</v>
      </c>
      <c r="E111" s="51">
        <f t="shared" si="24"/>
        <v>376.58774736712536</v>
      </c>
      <c r="F111" s="51">
        <f t="shared" si="18"/>
        <v>94.14693684178134</v>
      </c>
      <c r="G111" s="50">
        <v>46153</v>
      </c>
      <c r="H111" s="70">
        <v>500.4606</v>
      </c>
      <c r="I111" s="2">
        <v>22927242</v>
      </c>
      <c r="J111" s="49">
        <f t="shared" si="19"/>
        <v>92402.15</v>
      </c>
      <c r="K111" s="49">
        <f t="shared" si="26"/>
        <v>96065.18</v>
      </c>
      <c r="L111" s="51">
        <v>56354.6</v>
      </c>
      <c r="M111" s="44">
        <v>626367</v>
      </c>
      <c r="N111" s="50">
        <v>46147</v>
      </c>
      <c r="O111" s="51">
        <v>490.04419999999999</v>
      </c>
      <c r="P111" s="51">
        <f t="shared" si="20"/>
        <v>114.99901437462172</v>
      </c>
      <c r="Q111" s="69">
        <v>36047.550000000003</v>
      </c>
      <c r="R111" s="2">
        <v>605000345</v>
      </c>
      <c r="S111" s="5">
        <v>46171</v>
      </c>
      <c r="T111" s="51">
        <v>547.04100000000005</v>
      </c>
      <c r="U111" s="51">
        <f t="shared" si="21"/>
        <v>65.895517886227907</v>
      </c>
      <c r="V111" s="22"/>
      <c r="W111" s="55"/>
      <c r="X111" s="2"/>
      <c r="Y111" s="51"/>
      <c r="Z111" s="51"/>
      <c r="AA111" s="53"/>
      <c r="AB111" s="53"/>
      <c r="AC111" s="53"/>
      <c r="AD111" s="51"/>
      <c r="AE111" s="51"/>
      <c r="AF111" s="53"/>
      <c r="AG111" s="53"/>
      <c r="AH111" s="53"/>
      <c r="AI111" s="51"/>
      <c r="AJ111" s="51"/>
      <c r="AK111" s="53"/>
      <c r="AL111" s="53"/>
      <c r="AM111" s="53"/>
      <c r="AN111" s="51"/>
      <c r="AO111" s="51"/>
      <c r="AP111" s="53"/>
      <c r="AQ111" s="53"/>
      <c r="AR111" s="53"/>
      <c r="AS111" s="51"/>
      <c r="AT111" s="51"/>
      <c r="AU111" s="53"/>
      <c r="AV111" s="53"/>
      <c r="AW111" s="53"/>
      <c r="AX111" s="51"/>
      <c r="AY111" s="51">
        <f t="shared" si="27"/>
        <v>0</v>
      </c>
      <c r="AZ111" s="55"/>
      <c r="BA111" s="55"/>
      <c r="BB111" s="55"/>
      <c r="BC111" s="51"/>
      <c r="BD111" s="51"/>
    </row>
    <row r="112" spans="1:56" ht="14.4" x14ac:dyDescent="0.3">
      <c r="A112" s="42">
        <v>111</v>
      </c>
      <c r="B112" s="2">
        <v>14362</v>
      </c>
      <c r="C112" s="53" t="s">
        <v>134</v>
      </c>
      <c r="D112" s="51">
        <v>32296.42</v>
      </c>
      <c r="E112" s="51">
        <f t="shared" si="24"/>
        <v>64.533391839437513</v>
      </c>
      <c r="F112" s="51">
        <f t="shared" si="18"/>
        <v>16.133347959859378</v>
      </c>
      <c r="G112" s="50">
        <v>46153</v>
      </c>
      <c r="H112" s="70">
        <v>500.4606</v>
      </c>
      <c r="I112" s="2">
        <v>27745578</v>
      </c>
      <c r="J112" s="49">
        <f t="shared" si="19"/>
        <v>24137.1</v>
      </c>
      <c r="K112" s="49">
        <f t="shared" si="26"/>
        <v>8159.32</v>
      </c>
      <c r="L112" s="51">
        <v>14686.5</v>
      </c>
      <c r="M112" s="44">
        <v>533723</v>
      </c>
      <c r="N112" s="50">
        <v>46146</v>
      </c>
      <c r="O112" s="51">
        <v>489.31319999999999</v>
      </c>
      <c r="P112" s="51">
        <f t="shared" si="20"/>
        <v>30.014518308518962</v>
      </c>
      <c r="Q112" s="51">
        <v>9450.6</v>
      </c>
      <c r="R112" s="2">
        <v>605000345</v>
      </c>
      <c r="S112" s="5">
        <v>46171</v>
      </c>
      <c r="T112" s="51">
        <v>547.04100000000005</v>
      </c>
      <c r="U112" s="51">
        <f t="shared" si="21"/>
        <v>17.275853181022992</v>
      </c>
      <c r="V112" s="22"/>
      <c r="W112" s="53"/>
      <c r="X112" s="2"/>
      <c r="Y112" s="51"/>
      <c r="Z112" s="51"/>
      <c r="AA112" s="53"/>
      <c r="AB112" s="53"/>
      <c r="AC112" s="53"/>
      <c r="AD112" s="51"/>
      <c r="AE112" s="51"/>
      <c r="AF112" s="53"/>
      <c r="AG112" s="53"/>
      <c r="AH112" s="53"/>
      <c r="AI112" s="51"/>
      <c r="AJ112" s="51"/>
      <c r="AK112" s="53"/>
      <c r="AL112" s="53"/>
      <c r="AM112" s="53"/>
      <c r="AN112" s="51"/>
      <c r="AO112" s="51"/>
      <c r="AP112" s="53"/>
      <c r="AQ112" s="53"/>
      <c r="AR112" s="53"/>
      <c r="AS112" s="51"/>
      <c r="AT112" s="51"/>
      <c r="AU112" s="53"/>
      <c r="AV112" s="53"/>
      <c r="AW112" s="53"/>
      <c r="AX112" s="51"/>
      <c r="AY112" s="51">
        <f t="shared" si="27"/>
        <v>0</v>
      </c>
      <c r="AZ112" s="55"/>
      <c r="BA112" s="55"/>
      <c r="BB112" s="55"/>
      <c r="BC112" s="51"/>
      <c r="BD112" s="51"/>
    </row>
    <row r="113" spans="1:56" ht="14.4" x14ac:dyDescent="0.3">
      <c r="A113" s="42">
        <v>112</v>
      </c>
      <c r="B113" s="2">
        <v>14363</v>
      </c>
      <c r="C113" s="53" t="s">
        <v>94</v>
      </c>
      <c r="D113" s="69">
        <v>154642.13</v>
      </c>
      <c r="E113" s="51">
        <f t="shared" si="24"/>
        <v>308.99960955967362</v>
      </c>
      <c r="F113" s="51">
        <f t="shared" si="18"/>
        <v>77.249902389918404</v>
      </c>
      <c r="G113" s="50">
        <v>46153</v>
      </c>
      <c r="H113" s="70">
        <v>500.4606</v>
      </c>
      <c r="I113" s="2">
        <v>29894018</v>
      </c>
      <c r="J113" s="49">
        <f t="shared" si="19"/>
        <v>75654.11</v>
      </c>
      <c r="K113" s="49">
        <f t="shared" si="26"/>
        <v>78988.02</v>
      </c>
      <c r="L113" s="51">
        <v>45988.04</v>
      </c>
      <c r="M113" s="44">
        <v>99031</v>
      </c>
      <c r="N113" s="50">
        <v>46150</v>
      </c>
      <c r="O113" s="51">
        <v>496.29399999999998</v>
      </c>
      <c r="P113" s="51">
        <f t="shared" si="20"/>
        <v>92.66289739549542</v>
      </c>
      <c r="Q113" s="51">
        <v>29666.07</v>
      </c>
      <c r="R113" s="44">
        <v>277040</v>
      </c>
      <c r="S113" s="50">
        <v>45809</v>
      </c>
      <c r="T113" s="51">
        <v>96.615600000000001</v>
      </c>
      <c r="U113" s="51">
        <f t="shared" si="21"/>
        <v>307.05258778085528</v>
      </c>
      <c r="V113" s="22"/>
      <c r="W113" s="53"/>
      <c r="X113" s="2"/>
      <c r="Y113" s="51"/>
      <c r="Z113" s="51"/>
      <c r="AA113" s="53"/>
      <c r="AB113" s="53"/>
      <c r="AC113" s="53"/>
      <c r="AD113" s="51"/>
      <c r="AE113" s="51"/>
      <c r="AF113" s="53"/>
      <c r="AG113" s="53"/>
      <c r="AH113" s="53"/>
      <c r="AI113" s="51"/>
      <c r="AJ113" s="51"/>
      <c r="AK113" s="53"/>
      <c r="AL113" s="53"/>
      <c r="AM113" s="53"/>
      <c r="AN113" s="51"/>
      <c r="AO113" s="51"/>
      <c r="AP113" s="53"/>
      <c r="AQ113" s="53"/>
      <c r="AR113" s="53"/>
      <c r="AS113" s="51"/>
      <c r="AT113" s="51"/>
      <c r="AU113" s="53"/>
      <c r="AV113" s="53"/>
      <c r="AW113" s="53"/>
      <c r="AX113" s="51"/>
      <c r="AY113" s="51">
        <f t="shared" si="27"/>
        <v>0</v>
      </c>
      <c r="AZ113" s="55"/>
      <c r="BA113" s="55"/>
      <c r="BB113" s="55"/>
      <c r="BC113" s="51"/>
      <c r="BD113" s="51"/>
    </row>
    <row r="114" spans="1:56" ht="14.4" x14ac:dyDescent="0.3">
      <c r="A114" s="42">
        <v>113</v>
      </c>
      <c r="B114" s="2">
        <v>14364</v>
      </c>
      <c r="C114" s="53" t="s">
        <v>95</v>
      </c>
      <c r="D114" s="69">
        <v>92585.1</v>
      </c>
      <c r="E114" s="51">
        <f t="shared" si="24"/>
        <v>184.9997782043182</v>
      </c>
      <c r="F114" s="51">
        <f t="shared" si="18"/>
        <v>46.249944551079551</v>
      </c>
      <c r="G114" s="50">
        <v>46153</v>
      </c>
      <c r="H114" s="70">
        <v>500.4606</v>
      </c>
      <c r="I114" s="2">
        <v>26601452</v>
      </c>
      <c r="J114" s="49">
        <f t="shared" si="19"/>
        <v>58872.369999999995</v>
      </c>
      <c r="K114" s="49">
        <f t="shared" si="26"/>
        <v>33712.73000000001</v>
      </c>
      <c r="L114" s="51">
        <v>28991.93</v>
      </c>
      <c r="M114" s="44">
        <v>902503</v>
      </c>
      <c r="N114" s="50">
        <v>46150</v>
      </c>
      <c r="O114" s="51">
        <v>496.29399999999998</v>
      </c>
      <c r="P114" s="51">
        <f t="shared" si="20"/>
        <v>58.416845660032159</v>
      </c>
      <c r="Q114" s="14">
        <v>29880.44</v>
      </c>
      <c r="R114" s="38">
        <v>912500</v>
      </c>
      <c r="S114" s="12">
        <v>46161</v>
      </c>
      <c r="T114" s="51">
        <v>517.96190000000001</v>
      </c>
      <c r="U114" s="51">
        <f t="shared" si="21"/>
        <v>57.688490215206947</v>
      </c>
      <c r="V114" s="22"/>
      <c r="W114" s="53"/>
      <c r="X114" s="2"/>
      <c r="Y114" s="51"/>
      <c r="Z114" s="51"/>
      <c r="AA114" s="53"/>
      <c r="AB114" s="53"/>
      <c r="AC114" s="53"/>
      <c r="AD114" s="51"/>
      <c r="AE114" s="51"/>
      <c r="AF114" s="53"/>
      <c r="AG114" s="53"/>
      <c r="AH114" s="53"/>
      <c r="AI114" s="51"/>
      <c r="AJ114" s="51"/>
      <c r="AK114" s="53"/>
      <c r="AL114" s="53"/>
      <c r="AM114" s="53"/>
      <c r="AN114" s="51"/>
      <c r="AO114" s="51"/>
      <c r="AP114" s="53"/>
      <c r="AQ114" s="53"/>
      <c r="AR114" s="53"/>
      <c r="AS114" s="51"/>
      <c r="AT114" s="51"/>
      <c r="AU114" s="53"/>
      <c r="AV114" s="53"/>
      <c r="AW114" s="53"/>
      <c r="AX114" s="51"/>
      <c r="AY114" s="51">
        <f t="shared" si="27"/>
        <v>0</v>
      </c>
      <c r="AZ114" s="55"/>
      <c r="BA114" s="55"/>
      <c r="BB114" s="55"/>
      <c r="BC114" s="51"/>
      <c r="BD114" s="51"/>
    </row>
    <row r="115" spans="1:56" ht="14.4" x14ac:dyDescent="0.3">
      <c r="A115" s="42">
        <v>114</v>
      </c>
      <c r="B115" s="2">
        <v>14530</v>
      </c>
      <c r="C115" s="53" t="s">
        <v>96</v>
      </c>
      <c r="D115" s="45">
        <v>48701.31</v>
      </c>
      <c r="E115" s="51">
        <f t="shared" si="24"/>
        <v>92.99911204468421</v>
      </c>
      <c r="F115" s="51">
        <f t="shared" si="18"/>
        <v>23.249778011171053</v>
      </c>
      <c r="G115" s="50">
        <v>46163</v>
      </c>
      <c r="H115" s="70">
        <v>523.67499999999995</v>
      </c>
      <c r="I115" s="2">
        <v>17783627</v>
      </c>
      <c r="J115" s="49">
        <f t="shared" si="19"/>
        <v>14610.39</v>
      </c>
      <c r="K115" s="49">
        <f t="shared" si="26"/>
        <v>34090.92</v>
      </c>
      <c r="L115" s="51">
        <v>14610.39</v>
      </c>
      <c r="M115" s="44">
        <v>399644</v>
      </c>
      <c r="N115" s="50">
        <v>46163</v>
      </c>
      <c r="O115" s="51">
        <v>523.67499999999995</v>
      </c>
      <c r="P115" s="51">
        <f t="shared" si="20"/>
        <v>27.899727884661289</v>
      </c>
      <c r="Q115" s="22"/>
      <c r="R115" s="2"/>
      <c r="S115" s="2"/>
      <c r="T115" s="51"/>
      <c r="U115" s="51"/>
      <c r="V115" s="22"/>
      <c r="W115" s="53"/>
      <c r="X115" s="2"/>
      <c r="Y115" s="51"/>
      <c r="Z115" s="51"/>
      <c r="AA115" s="53"/>
      <c r="AB115" s="53"/>
      <c r="AC115" s="53"/>
      <c r="AD115" s="51"/>
      <c r="AE115" s="51"/>
      <c r="AF115" s="53"/>
      <c r="AG115" s="53"/>
      <c r="AH115" s="53"/>
      <c r="AI115" s="51"/>
      <c r="AJ115" s="51"/>
      <c r="AK115" s="53"/>
      <c r="AL115" s="53"/>
      <c r="AM115" s="53"/>
      <c r="AN115" s="51"/>
      <c r="AO115" s="51"/>
      <c r="AP115" s="53"/>
      <c r="AQ115" s="53"/>
      <c r="AR115" s="53"/>
      <c r="AS115" s="51"/>
      <c r="AT115" s="51"/>
      <c r="AU115" s="53"/>
      <c r="AV115" s="53"/>
      <c r="AW115" s="53"/>
      <c r="AX115" s="51"/>
      <c r="AY115" s="51">
        <f t="shared" si="27"/>
        <v>0</v>
      </c>
      <c r="AZ115" s="55"/>
      <c r="BA115" s="55"/>
      <c r="BB115" s="55"/>
      <c r="BC115" s="51"/>
      <c r="BD115" s="51"/>
    </row>
    <row r="116" spans="1:56" ht="14.4" x14ac:dyDescent="0.3">
      <c r="A116" s="42">
        <v>115</v>
      </c>
      <c r="B116" s="2">
        <v>14632</v>
      </c>
      <c r="C116" s="53" t="s">
        <v>97</v>
      </c>
      <c r="D116" s="45">
        <v>21622.38</v>
      </c>
      <c r="E116" s="51">
        <f t="shared" si="24"/>
        <v>39.526068429971424</v>
      </c>
      <c r="F116" s="51">
        <f t="shared" si="18"/>
        <v>9.8815171074928561</v>
      </c>
      <c r="G116" s="50">
        <v>46171</v>
      </c>
      <c r="H116" s="70">
        <v>547.04100000000005</v>
      </c>
      <c r="I116" s="2">
        <v>30795283</v>
      </c>
      <c r="J116" s="49">
        <f t="shared" si="19"/>
        <v>6600</v>
      </c>
      <c r="K116" s="49">
        <f t="shared" si="26"/>
        <v>15022.380000000001</v>
      </c>
      <c r="L116" s="51">
        <v>6600</v>
      </c>
      <c r="M116" s="44">
        <v>117906</v>
      </c>
      <c r="N116" s="50">
        <v>46171</v>
      </c>
      <c r="O116" s="51">
        <v>547.04100000000005</v>
      </c>
      <c r="P116" s="51">
        <f t="shared" si="20"/>
        <v>12.064909211558183</v>
      </c>
      <c r="Q116" s="22"/>
      <c r="R116" s="2"/>
      <c r="S116" s="2"/>
      <c r="T116" s="51"/>
      <c r="U116" s="51"/>
      <c r="V116" s="22"/>
      <c r="W116" s="53"/>
      <c r="X116" s="2"/>
      <c r="Y116" s="51"/>
      <c r="Z116" s="51"/>
      <c r="AA116" s="53"/>
      <c r="AB116" s="53"/>
      <c r="AC116" s="53"/>
      <c r="AD116" s="51"/>
      <c r="AE116" s="51"/>
      <c r="AF116" s="53"/>
      <c r="AG116" s="53"/>
      <c r="AH116" s="53"/>
      <c r="AI116" s="51"/>
      <c r="AJ116" s="51"/>
      <c r="AK116" s="53"/>
      <c r="AL116" s="53"/>
      <c r="AM116" s="53"/>
      <c r="AN116" s="51"/>
      <c r="AO116" s="51"/>
      <c r="AP116" s="53"/>
      <c r="AQ116" s="53"/>
      <c r="AR116" s="53"/>
      <c r="AS116" s="51"/>
      <c r="AT116" s="51"/>
      <c r="AU116" s="53"/>
      <c r="AV116" s="53"/>
      <c r="AW116" s="53"/>
      <c r="AX116" s="51"/>
      <c r="AY116" s="51">
        <f t="shared" si="27"/>
        <v>0</v>
      </c>
      <c r="AZ116" s="55"/>
      <c r="BA116" s="55"/>
      <c r="BB116" s="55"/>
      <c r="BC116" s="51"/>
      <c r="BD116" s="51"/>
    </row>
    <row r="117" spans="1:56" ht="14.4" x14ac:dyDescent="0.3">
      <c r="A117" s="42">
        <v>116</v>
      </c>
      <c r="B117" s="2">
        <v>14640</v>
      </c>
      <c r="C117" s="53" t="s">
        <v>98</v>
      </c>
      <c r="D117" s="45">
        <v>159672.95999999999</v>
      </c>
      <c r="E117" s="51">
        <f t="shared" si="24"/>
        <v>291.88481302132743</v>
      </c>
      <c r="F117" s="51">
        <f t="shared" si="18"/>
        <v>72.971203255331858</v>
      </c>
      <c r="G117" s="50">
        <v>46171</v>
      </c>
      <c r="H117" s="70">
        <v>547.04100000000005</v>
      </c>
      <c r="I117" s="2">
        <v>33213417</v>
      </c>
      <c r="J117" s="49">
        <f t="shared" si="19"/>
        <v>47245.82</v>
      </c>
      <c r="K117" s="49">
        <f t="shared" si="26"/>
        <v>112427.13999999998</v>
      </c>
      <c r="L117" s="51">
        <v>47245.82</v>
      </c>
      <c r="M117" s="44">
        <v>24840</v>
      </c>
      <c r="N117" s="50">
        <v>46171</v>
      </c>
      <c r="O117" s="51">
        <v>547.04100000000005</v>
      </c>
      <c r="P117" s="51">
        <f t="shared" si="20"/>
        <v>86.36614074630603</v>
      </c>
      <c r="Q117" s="22"/>
      <c r="R117" s="2"/>
      <c r="S117" s="2"/>
      <c r="T117" s="51"/>
      <c r="U117" s="51"/>
      <c r="V117" s="22"/>
      <c r="W117" s="53"/>
      <c r="X117" s="2"/>
      <c r="Y117" s="51"/>
      <c r="Z117" s="51"/>
      <c r="AA117" s="53"/>
      <c r="AB117" s="53"/>
      <c r="AC117" s="53"/>
      <c r="AD117" s="51"/>
      <c r="AE117" s="51"/>
      <c r="AF117" s="53"/>
      <c r="AG117" s="53"/>
      <c r="AH117" s="53"/>
      <c r="AI117" s="51"/>
      <c r="AJ117" s="51"/>
      <c r="AK117" s="53"/>
      <c r="AL117" s="53"/>
      <c r="AM117" s="53"/>
      <c r="AN117" s="51"/>
      <c r="AO117" s="51"/>
      <c r="AP117" s="53"/>
      <c r="AQ117" s="53"/>
      <c r="AR117" s="53"/>
      <c r="AS117" s="51"/>
      <c r="AT117" s="51"/>
      <c r="AU117" s="53"/>
      <c r="AV117" s="53"/>
      <c r="AW117" s="53"/>
      <c r="AX117" s="51"/>
      <c r="AY117" s="51">
        <f t="shared" si="27"/>
        <v>0</v>
      </c>
      <c r="AZ117" s="55"/>
      <c r="BA117" s="55"/>
      <c r="BB117" s="55"/>
      <c r="BC117" s="51"/>
      <c r="BD117" s="51"/>
    </row>
    <row r="118" spans="1:56" ht="14.4" x14ac:dyDescent="0.3">
      <c r="A118" s="42">
        <v>117</v>
      </c>
      <c r="B118" s="2">
        <v>14637</v>
      </c>
      <c r="C118" s="53" t="s">
        <v>99</v>
      </c>
      <c r="D118" s="45">
        <v>23840.05</v>
      </c>
      <c r="E118" s="51">
        <f t="shared" si="24"/>
        <v>43.580005886213279</v>
      </c>
      <c r="F118" s="51">
        <f t="shared" si="18"/>
        <v>10.89500147155332</v>
      </c>
      <c r="G118" s="50">
        <v>46171</v>
      </c>
      <c r="H118" s="70">
        <v>547.04100000000005</v>
      </c>
      <c r="I118" s="2">
        <v>14872855</v>
      </c>
      <c r="J118" s="49">
        <f t="shared" si="19"/>
        <v>7141.81</v>
      </c>
      <c r="K118" s="49">
        <f t="shared" si="26"/>
        <v>16698.239999999998</v>
      </c>
      <c r="L118" s="51">
        <v>7141.81</v>
      </c>
      <c r="M118" s="44">
        <v>953164</v>
      </c>
      <c r="N118" s="50">
        <v>46171</v>
      </c>
      <c r="O118" s="51">
        <v>547.04100000000005</v>
      </c>
      <c r="P118" s="51">
        <f t="shared" si="20"/>
        <v>13.05534685699975</v>
      </c>
      <c r="Q118" s="22"/>
      <c r="R118" s="2"/>
      <c r="S118" s="2"/>
      <c r="T118" s="51"/>
      <c r="U118" s="51"/>
      <c r="V118" s="22"/>
      <c r="W118" s="53"/>
      <c r="X118" s="2"/>
      <c r="Y118" s="51"/>
      <c r="Z118" s="51"/>
      <c r="AA118" s="53"/>
      <c r="AB118" s="53"/>
      <c r="AC118" s="53"/>
      <c r="AD118" s="51"/>
      <c r="AE118" s="51"/>
      <c r="AF118" s="53"/>
      <c r="AG118" s="53"/>
      <c r="AH118" s="53"/>
      <c r="AI118" s="51"/>
      <c r="AJ118" s="51"/>
      <c r="AK118" s="53"/>
      <c r="AL118" s="53"/>
      <c r="AM118" s="53"/>
      <c r="AN118" s="51"/>
      <c r="AO118" s="51"/>
      <c r="AP118" s="53"/>
      <c r="AQ118" s="53"/>
      <c r="AR118" s="53"/>
      <c r="AS118" s="51"/>
      <c r="AT118" s="51"/>
      <c r="AU118" s="53"/>
      <c r="AV118" s="53"/>
      <c r="AW118" s="53"/>
      <c r="AX118" s="51"/>
      <c r="AY118" s="51">
        <f t="shared" si="27"/>
        <v>0</v>
      </c>
      <c r="AZ118" s="55"/>
      <c r="BA118" s="55"/>
      <c r="BB118" s="55"/>
      <c r="BC118" s="51"/>
      <c r="BD118" s="51"/>
    </row>
    <row r="119" spans="1:56" ht="14.4" x14ac:dyDescent="0.3">
      <c r="A119" s="42">
        <v>118</v>
      </c>
      <c r="B119" s="2">
        <v>14634</v>
      </c>
      <c r="C119" s="53" t="s">
        <v>135</v>
      </c>
      <c r="D119" s="45">
        <v>167434.84</v>
      </c>
      <c r="E119" s="51">
        <f t="shared" si="24"/>
        <v>306.07365809875307</v>
      </c>
      <c r="F119" s="51">
        <f t="shared" si="18"/>
        <v>76.518414524688268</v>
      </c>
      <c r="G119" s="50">
        <v>46171</v>
      </c>
      <c r="H119" s="70">
        <v>547.04100000000005</v>
      </c>
      <c r="I119" s="2">
        <v>26117958</v>
      </c>
      <c r="J119" s="49">
        <f t="shared" si="19"/>
        <v>49992.67</v>
      </c>
      <c r="K119" s="49">
        <f t="shared" si="26"/>
        <v>117442.17</v>
      </c>
      <c r="L119" s="51">
        <v>49992.67</v>
      </c>
      <c r="M119" s="44">
        <v>564782</v>
      </c>
      <c r="N119" s="50">
        <v>46171</v>
      </c>
      <c r="O119" s="51">
        <v>547.04100000000005</v>
      </c>
      <c r="P119" s="51">
        <f t="shared" si="20"/>
        <v>91.387427998998234</v>
      </c>
      <c r="Q119" s="22"/>
      <c r="R119" s="2"/>
      <c r="S119" s="2"/>
      <c r="T119" s="51"/>
      <c r="U119" s="51"/>
      <c r="V119" s="22"/>
      <c r="W119" s="53"/>
      <c r="X119" s="2"/>
      <c r="Y119" s="51"/>
      <c r="Z119" s="51"/>
      <c r="AA119" s="53"/>
      <c r="AB119" s="53"/>
      <c r="AC119" s="53"/>
      <c r="AD119" s="51"/>
      <c r="AE119" s="51"/>
      <c r="AF119" s="53"/>
      <c r="AG119" s="53"/>
      <c r="AH119" s="53"/>
      <c r="AI119" s="51"/>
      <c r="AJ119" s="51"/>
      <c r="AK119" s="53"/>
      <c r="AL119" s="53"/>
      <c r="AM119" s="53"/>
      <c r="AN119" s="51"/>
      <c r="AO119" s="51"/>
      <c r="AP119" s="53"/>
      <c r="AQ119" s="53"/>
      <c r="AR119" s="53"/>
      <c r="AS119" s="51"/>
      <c r="AT119" s="51"/>
      <c r="AU119" s="53"/>
      <c r="AV119" s="53"/>
      <c r="AW119" s="53"/>
      <c r="AX119" s="51"/>
      <c r="AY119" s="51">
        <f t="shared" si="27"/>
        <v>0</v>
      </c>
      <c r="AZ119" s="55"/>
      <c r="BA119" s="55"/>
      <c r="BB119" s="55"/>
      <c r="BC119" s="51"/>
      <c r="BD119" s="51"/>
    </row>
    <row r="120" spans="1:56" ht="15.6" customHeight="1" x14ac:dyDescent="0.3">
      <c r="A120" s="42">
        <v>119</v>
      </c>
      <c r="B120" s="2">
        <v>14635</v>
      </c>
      <c r="C120" s="53" t="s">
        <v>100</v>
      </c>
      <c r="D120" s="45">
        <v>17187.009999999998</v>
      </c>
      <c r="E120" s="51">
        <f t="shared" si="24"/>
        <v>31.418138676991298</v>
      </c>
      <c r="F120" s="51">
        <f t="shared" si="18"/>
        <v>7.8545346692478244</v>
      </c>
      <c r="G120" s="50">
        <v>46171</v>
      </c>
      <c r="H120" s="70">
        <v>547.04100000000005</v>
      </c>
      <c r="I120" s="2">
        <v>28760873</v>
      </c>
      <c r="J120" s="49">
        <f t="shared" si="19"/>
        <v>5493.72</v>
      </c>
      <c r="K120" s="49">
        <f t="shared" si="26"/>
        <v>11693.289999999997</v>
      </c>
      <c r="L120" s="51">
        <v>5493.72</v>
      </c>
      <c r="M120" s="44">
        <v>85199</v>
      </c>
      <c r="N120" s="50">
        <v>46171</v>
      </c>
      <c r="O120" s="51">
        <v>547.04100000000005</v>
      </c>
      <c r="P120" s="51">
        <f t="shared" si="20"/>
        <v>10.042611065715366</v>
      </c>
      <c r="Q120" s="22"/>
      <c r="R120" s="2"/>
      <c r="S120" s="2"/>
      <c r="T120" s="51"/>
      <c r="U120" s="51"/>
      <c r="V120" s="22"/>
      <c r="W120" s="53"/>
      <c r="X120" s="2"/>
      <c r="Y120" s="51"/>
      <c r="Z120" s="51"/>
      <c r="AA120" s="53"/>
      <c r="AB120" s="53"/>
      <c r="AC120" s="53"/>
      <c r="AD120" s="51"/>
      <c r="AE120" s="51"/>
      <c r="AF120" s="53"/>
      <c r="AG120" s="53"/>
      <c r="AH120" s="53"/>
      <c r="AI120" s="51"/>
      <c r="AJ120" s="51"/>
      <c r="AK120" s="53"/>
      <c r="AL120" s="53"/>
      <c r="AM120" s="53"/>
      <c r="AN120" s="51"/>
      <c r="AO120" s="51"/>
      <c r="AP120" s="53"/>
      <c r="AQ120" s="53"/>
      <c r="AR120" s="53"/>
      <c r="AS120" s="51"/>
      <c r="AT120" s="51"/>
      <c r="AU120" s="53"/>
      <c r="AV120" s="53"/>
      <c r="AW120" s="53"/>
      <c r="AX120" s="51"/>
      <c r="AY120" s="51">
        <f t="shared" si="27"/>
        <v>0</v>
      </c>
      <c r="AZ120" s="55"/>
      <c r="BA120" s="55"/>
      <c r="BB120" s="55"/>
      <c r="BC120" s="51"/>
      <c r="BD120" s="51"/>
    </row>
    <row r="121" spans="1:56" ht="14.4" x14ac:dyDescent="0.3">
      <c r="A121" s="42">
        <v>120</v>
      </c>
      <c r="B121" s="2">
        <v>14641</v>
      </c>
      <c r="C121" s="53" t="s">
        <v>136</v>
      </c>
      <c r="D121" s="45">
        <v>158564.10999999999</v>
      </c>
      <c r="E121" s="51">
        <f t="shared" si="24"/>
        <v>289.85781687295827</v>
      </c>
      <c r="F121" s="51">
        <f t="shared" si="18"/>
        <v>72.464454218239567</v>
      </c>
      <c r="G121" s="50">
        <v>46171</v>
      </c>
      <c r="H121" s="70">
        <v>547.04100000000005</v>
      </c>
      <c r="I121" s="2">
        <v>30459460</v>
      </c>
      <c r="J121" s="49">
        <f t="shared" si="19"/>
        <v>75060.41</v>
      </c>
      <c r="K121" s="49">
        <f t="shared" si="26"/>
        <v>83503.699999999983</v>
      </c>
      <c r="L121" s="43">
        <v>43949.73</v>
      </c>
      <c r="M121" s="44">
        <v>128401</v>
      </c>
      <c r="N121" s="50">
        <v>46171</v>
      </c>
      <c r="O121" s="51">
        <v>547.04100000000005</v>
      </c>
      <c r="P121" s="51">
        <f t="shared" si="20"/>
        <v>80.340833685226514</v>
      </c>
      <c r="Q121" s="51">
        <v>31110.68</v>
      </c>
      <c r="R121" s="34">
        <v>447038</v>
      </c>
      <c r="S121" s="3">
        <v>46203</v>
      </c>
      <c r="T121" s="51">
        <v>623.02229999999997</v>
      </c>
      <c r="U121" s="51">
        <f t="shared" si="21"/>
        <v>49.935098631301003</v>
      </c>
      <c r="V121" s="1"/>
      <c r="W121" s="53"/>
      <c r="X121" s="2"/>
      <c r="Y121" s="51"/>
      <c r="Z121" s="51"/>
      <c r="AA121" s="53"/>
      <c r="AB121" s="53"/>
      <c r="AC121" s="53"/>
      <c r="AD121" s="51"/>
      <c r="AE121" s="51"/>
      <c r="AF121" s="53"/>
      <c r="AG121" s="53"/>
      <c r="AH121" s="53"/>
      <c r="AI121" s="51"/>
      <c r="AJ121" s="51"/>
      <c r="AK121" s="53"/>
      <c r="AL121" s="53"/>
      <c r="AM121" s="53"/>
      <c r="AN121" s="51"/>
      <c r="AO121" s="51"/>
      <c r="AP121" s="53"/>
      <c r="AQ121" s="53"/>
      <c r="AR121" s="53"/>
      <c r="AS121" s="51"/>
      <c r="AT121" s="51"/>
      <c r="AU121" s="53"/>
      <c r="AV121" s="53"/>
      <c r="AW121" s="53"/>
      <c r="AX121" s="51"/>
      <c r="AY121" s="51">
        <f t="shared" si="27"/>
        <v>0</v>
      </c>
      <c r="AZ121" s="55"/>
      <c r="BA121" s="55"/>
      <c r="BB121" s="55"/>
      <c r="BC121" s="51"/>
      <c r="BD121" s="51"/>
    </row>
    <row r="122" spans="1:56" ht="14.4" x14ac:dyDescent="0.3">
      <c r="A122" s="42">
        <v>121</v>
      </c>
      <c r="B122" s="2">
        <v>14633</v>
      </c>
      <c r="C122" s="53" t="s">
        <v>101</v>
      </c>
      <c r="D122" s="45">
        <v>83163</v>
      </c>
      <c r="E122" s="51">
        <f t="shared" si="24"/>
        <v>152.02334011527472</v>
      </c>
      <c r="F122" s="51">
        <f t="shared" si="18"/>
        <v>38.00583502881868</v>
      </c>
      <c r="G122" s="50">
        <v>46171</v>
      </c>
      <c r="H122" s="70">
        <v>547.04100000000005</v>
      </c>
      <c r="I122" s="2">
        <v>24093179</v>
      </c>
      <c r="J122" s="49">
        <f t="shared" si="19"/>
        <v>52515.4</v>
      </c>
      <c r="K122" s="49">
        <f t="shared" si="26"/>
        <v>30647.599999999999</v>
      </c>
      <c r="L122" s="51">
        <v>24721.65</v>
      </c>
      <c r="M122" s="44">
        <v>107503</v>
      </c>
      <c r="N122" s="50">
        <v>46171</v>
      </c>
      <c r="O122" s="51">
        <v>547.04100000000005</v>
      </c>
      <c r="P122" s="51">
        <f t="shared" si="20"/>
        <v>45.191585274229901</v>
      </c>
      <c r="Q122" s="45">
        <v>27793.75</v>
      </c>
      <c r="R122" s="52">
        <v>975819</v>
      </c>
      <c r="S122" s="46">
        <v>46196</v>
      </c>
      <c r="T122" s="51">
        <v>617.63879999999995</v>
      </c>
      <c r="U122" s="51">
        <f t="shared" si="21"/>
        <v>45.000006476277079</v>
      </c>
      <c r="V122" s="22"/>
      <c r="W122" s="53"/>
      <c r="X122" s="2"/>
      <c r="Y122" s="51"/>
      <c r="Z122" s="51"/>
      <c r="AA122" s="53"/>
      <c r="AB122" s="53"/>
      <c r="AC122" s="53"/>
      <c r="AD122" s="51"/>
      <c r="AE122" s="51"/>
      <c r="AF122" s="53"/>
      <c r="AG122" s="53"/>
      <c r="AH122" s="53"/>
      <c r="AI122" s="51"/>
      <c r="AJ122" s="51"/>
      <c r="AK122" s="53"/>
      <c r="AL122" s="53"/>
      <c r="AM122" s="53"/>
      <c r="AN122" s="51"/>
      <c r="AO122" s="51"/>
      <c r="AP122" s="53"/>
      <c r="AQ122" s="53"/>
      <c r="AR122" s="53"/>
      <c r="AS122" s="51"/>
      <c r="AT122" s="51"/>
      <c r="AU122" s="53"/>
      <c r="AV122" s="53"/>
      <c r="AW122" s="53"/>
      <c r="AX122" s="51"/>
      <c r="AY122" s="51">
        <f t="shared" si="27"/>
        <v>0</v>
      </c>
      <c r="AZ122" s="55"/>
      <c r="BA122" s="55"/>
      <c r="BB122" s="55"/>
      <c r="BC122" s="51"/>
      <c r="BD122" s="51"/>
    </row>
    <row r="123" spans="1:56" ht="14.4" x14ac:dyDescent="0.3">
      <c r="A123" s="42">
        <v>122</v>
      </c>
      <c r="B123" s="2">
        <v>14636</v>
      </c>
      <c r="C123" s="53" t="s">
        <v>137</v>
      </c>
      <c r="D123" s="45">
        <v>18850.28</v>
      </c>
      <c r="E123" s="51">
        <f t="shared" si="24"/>
        <v>34.458623759462263</v>
      </c>
      <c r="F123" s="51">
        <f t="shared" si="18"/>
        <v>8.6146559398655658</v>
      </c>
      <c r="G123" s="50">
        <v>46171</v>
      </c>
      <c r="H123" s="70">
        <v>547.04100000000005</v>
      </c>
      <c r="I123" s="2">
        <v>31776749</v>
      </c>
      <c r="J123" s="49">
        <f t="shared" si="19"/>
        <v>69323.490000000005</v>
      </c>
      <c r="K123" s="49">
        <f t="shared" si="26"/>
        <v>-50473.210000000006</v>
      </c>
      <c r="L123" s="51">
        <v>54390.37</v>
      </c>
      <c r="M123" s="44">
        <v>458813</v>
      </c>
      <c r="N123" s="50">
        <v>46171</v>
      </c>
      <c r="O123" s="51">
        <v>547.04100000000005</v>
      </c>
      <c r="P123" s="51">
        <f t="shared" si="20"/>
        <v>99.426496368645118</v>
      </c>
      <c r="Q123" s="51">
        <v>14933.12</v>
      </c>
      <c r="R123" s="34">
        <v>362201</v>
      </c>
      <c r="S123" s="3">
        <v>46203</v>
      </c>
      <c r="T123" s="51">
        <v>623.02229999999997</v>
      </c>
      <c r="U123" s="51">
        <f t="shared" si="21"/>
        <v>23.968837070518987</v>
      </c>
      <c r="V123" s="1"/>
      <c r="W123" s="53"/>
      <c r="X123" s="2"/>
      <c r="Y123" s="51"/>
      <c r="Z123" s="51"/>
      <c r="AA123" s="53"/>
      <c r="AB123" s="53"/>
      <c r="AC123" s="53"/>
      <c r="AD123" s="51"/>
      <c r="AE123" s="51"/>
      <c r="AF123" s="53"/>
      <c r="AG123" s="53"/>
      <c r="AH123" s="53"/>
      <c r="AI123" s="51"/>
      <c r="AJ123" s="51"/>
      <c r="AK123" s="53"/>
      <c r="AL123" s="53"/>
      <c r="AM123" s="53"/>
      <c r="AN123" s="51"/>
      <c r="AO123" s="51"/>
      <c r="AP123" s="53"/>
      <c r="AQ123" s="53"/>
      <c r="AR123" s="53"/>
      <c r="AS123" s="51"/>
      <c r="AT123" s="51"/>
      <c r="AU123" s="53"/>
      <c r="AV123" s="53"/>
      <c r="AW123" s="53"/>
      <c r="AX123" s="51"/>
      <c r="AY123" s="51">
        <f t="shared" si="27"/>
        <v>0</v>
      </c>
      <c r="AZ123" s="55"/>
      <c r="BA123" s="55"/>
      <c r="BB123" s="55"/>
      <c r="BC123" s="51"/>
      <c r="BD123" s="51"/>
    </row>
    <row r="124" spans="1:56" ht="14.4" x14ac:dyDescent="0.3">
      <c r="A124" s="42">
        <v>123</v>
      </c>
      <c r="B124" s="2">
        <v>14639</v>
      </c>
      <c r="C124" s="53" t="s">
        <v>138</v>
      </c>
      <c r="D124" s="45">
        <v>170206.94</v>
      </c>
      <c r="E124" s="51">
        <f t="shared" si="24"/>
        <v>311.14110276926226</v>
      </c>
      <c r="F124" s="51">
        <f t="shared" si="18"/>
        <v>77.785275692315565</v>
      </c>
      <c r="G124" s="50">
        <v>46171</v>
      </c>
      <c r="H124" s="70">
        <v>547.04100000000005</v>
      </c>
      <c r="I124" s="2">
        <v>24029406</v>
      </c>
      <c r="J124" s="49">
        <f t="shared" si="19"/>
        <v>50540</v>
      </c>
      <c r="K124" s="49">
        <f t="shared" si="26"/>
        <v>119666.94</v>
      </c>
      <c r="L124" s="51">
        <v>50540</v>
      </c>
      <c r="M124" s="44">
        <v>29568</v>
      </c>
      <c r="N124" s="50">
        <v>46171</v>
      </c>
      <c r="O124" s="51">
        <v>547.04100000000005</v>
      </c>
      <c r="P124" s="51">
        <f t="shared" si="20"/>
        <v>92.387956295780384</v>
      </c>
      <c r="Q124" s="22"/>
      <c r="R124" s="2"/>
      <c r="S124" s="2"/>
      <c r="T124" s="51"/>
      <c r="U124" s="51"/>
      <c r="V124" s="22"/>
      <c r="W124" s="53"/>
      <c r="X124" s="2"/>
      <c r="Y124" s="51"/>
      <c r="Z124" s="51"/>
      <c r="AA124" s="53"/>
      <c r="AB124" s="53"/>
      <c r="AC124" s="53"/>
      <c r="AD124" s="51"/>
      <c r="AE124" s="51"/>
      <c r="AF124" s="53"/>
      <c r="AG124" s="53"/>
      <c r="AH124" s="53"/>
      <c r="AI124" s="51"/>
      <c r="AJ124" s="51"/>
      <c r="AK124" s="53"/>
      <c r="AL124" s="53"/>
      <c r="AM124" s="53"/>
      <c r="AN124" s="51"/>
      <c r="AO124" s="51"/>
      <c r="AP124" s="53"/>
      <c r="AQ124" s="53"/>
      <c r="AR124" s="53"/>
      <c r="AS124" s="51"/>
      <c r="AT124" s="51"/>
      <c r="AU124" s="53"/>
      <c r="AV124" s="53"/>
      <c r="AW124" s="53"/>
      <c r="AX124" s="51"/>
      <c r="AY124" s="51">
        <f t="shared" si="27"/>
        <v>0</v>
      </c>
      <c r="AZ124" s="55"/>
      <c r="BA124" s="55"/>
      <c r="BB124" s="55"/>
      <c r="BC124" s="51"/>
      <c r="BD124" s="51"/>
    </row>
    <row r="125" spans="1:56" ht="14.4" x14ac:dyDescent="0.3">
      <c r="A125" s="42">
        <v>124</v>
      </c>
      <c r="B125" s="2">
        <v>14642</v>
      </c>
      <c r="C125" s="53" t="s">
        <v>102</v>
      </c>
      <c r="D125" s="51">
        <v>32129.62</v>
      </c>
      <c r="E125" s="51">
        <f t="shared" si="24"/>
        <v>58.733477015433934</v>
      </c>
      <c r="F125" s="51">
        <f t="shared" si="18"/>
        <v>14.683369253858483</v>
      </c>
      <c r="G125" s="50">
        <v>46171</v>
      </c>
      <c r="H125" s="70">
        <v>547.04100000000005</v>
      </c>
      <c r="I125" s="2">
        <v>10002920</v>
      </c>
      <c r="J125" s="49">
        <f t="shared" si="19"/>
        <v>9802.26</v>
      </c>
      <c r="K125" s="49">
        <f t="shared" si="26"/>
        <v>22327.360000000001</v>
      </c>
      <c r="L125" s="51">
        <v>9802.26</v>
      </c>
      <c r="M125" s="2">
        <v>1712</v>
      </c>
      <c r="N125" s="50">
        <v>46170</v>
      </c>
      <c r="O125" s="51">
        <v>544.57939999999996</v>
      </c>
      <c r="P125" s="51">
        <f t="shared" si="20"/>
        <v>17.999689301504979</v>
      </c>
      <c r="Q125" s="22"/>
      <c r="R125" s="2"/>
      <c r="S125" s="2"/>
      <c r="T125" s="51"/>
      <c r="U125" s="51"/>
      <c r="V125" s="22"/>
      <c r="W125" s="53"/>
      <c r="X125" s="2"/>
      <c r="Y125" s="51"/>
      <c r="Z125" s="51"/>
      <c r="AA125" s="53"/>
      <c r="AB125" s="53"/>
      <c r="AC125" s="53"/>
      <c r="AD125" s="51"/>
      <c r="AE125" s="51"/>
      <c r="AF125" s="53"/>
      <c r="AG125" s="53"/>
      <c r="AH125" s="53"/>
      <c r="AI125" s="51"/>
      <c r="AJ125" s="51"/>
      <c r="AK125" s="53"/>
      <c r="AL125" s="53"/>
      <c r="AM125" s="53"/>
      <c r="AN125" s="51"/>
      <c r="AO125" s="51"/>
      <c r="AP125" s="53"/>
      <c r="AQ125" s="53"/>
      <c r="AR125" s="53"/>
      <c r="AS125" s="51"/>
      <c r="AT125" s="51"/>
      <c r="AU125" s="53"/>
      <c r="AV125" s="53"/>
      <c r="AW125" s="53"/>
      <c r="AX125" s="51"/>
      <c r="AY125" s="51">
        <f t="shared" si="27"/>
        <v>0</v>
      </c>
      <c r="AZ125" s="55"/>
      <c r="BA125" s="55"/>
      <c r="BB125" s="55"/>
      <c r="BC125" s="51"/>
      <c r="BD125" s="51"/>
    </row>
    <row r="126" spans="1:56" ht="14.4" x14ac:dyDescent="0.3">
      <c r="A126" s="42">
        <v>125</v>
      </c>
      <c r="B126" s="2">
        <v>14643</v>
      </c>
      <c r="C126" s="53" t="s">
        <v>103</v>
      </c>
      <c r="D126" s="51">
        <v>130689.68</v>
      </c>
      <c r="E126" s="51">
        <f t="shared" si="24"/>
        <v>238.90289758902895</v>
      </c>
      <c r="F126" s="51">
        <f t="shared" si="18"/>
        <v>59.725724397257238</v>
      </c>
      <c r="G126" s="50">
        <v>46171</v>
      </c>
      <c r="H126" s="70">
        <v>547.04100000000005</v>
      </c>
      <c r="I126" s="2">
        <v>26346141</v>
      </c>
      <c r="J126" s="49">
        <f t="shared" si="19"/>
        <v>38900</v>
      </c>
      <c r="K126" s="49">
        <f t="shared" si="26"/>
        <v>91789.68</v>
      </c>
      <c r="L126" s="51">
        <v>38900</v>
      </c>
      <c r="M126" s="44">
        <v>713933</v>
      </c>
      <c r="N126" s="50">
        <v>46169</v>
      </c>
      <c r="O126" s="51">
        <v>540.04309999999998</v>
      </c>
      <c r="P126" s="51">
        <f t="shared" si="20"/>
        <v>72.031287873134573</v>
      </c>
      <c r="Q126" s="22"/>
      <c r="S126" s="2"/>
      <c r="T126" s="51"/>
      <c r="U126" s="51"/>
      <c r="V126" s="22"/>
      <c r="W126" s="53"/>
      <c r="X126" s="2"/>
      <c r="Y126" s="51"/>
      <c r="Z126" s="51"/>
      <c r="AA126" s="53"/>
      <c r="AB126" s="53"/>
      <c r="AC126" s="53"/>
      <c r="AD126" s="51"/>
      <c r="AE126" s="51"/>
      <c r="AF126" s="53"/>
      <c r="AG126" s="53"/>
      <c r="AH126" s="53"/>
      <c r="AI126" s="51"/>
      <c r="AJ126" s="51"/>
      <c r="AK126" s="53"/>
      <c r="AL126" s="53"/>
      <c r="AM126" s="53"/>
      <c r="AN126" s="51"/>
      <c r="AO126" s="51"/>
      <c r="AP126" s="53"/>
      <c r="AQ126" s="53"/>
      <c r="AR126" s="53"/>
      <c r="AS126" s="51"/>
      <c r="AT126" s="51"/>
      <c r="AU126" s="53"/>
      <c r="AV126" s="53"/>
      <c r="AW126" s="53"/>
      <c r="AX126" s="51"/>
      <c r="AY126" s="51">
        <f t="shared" si="27"/>
        <v>0</v>
      </c>
      <c r="AZ126" s="55"/>
      <c r="BA126" s="55"/>
      <c r="BB126" s="55"/>
      <c r="BC126" s="51"/>
      <c r="BD126" s="51"/>
    </row>
    <row r="127" spans="1:56" ht="14.4" x14ac:dyDescent="0.3">
      <c r="A127" s="42">
        <v>126</v>
      </c>
      <c r="B127" s="2">
        <v>14644</v>
      </c>
      <c r="C127" s="53" t="s">
        <v>104</v>
      </c>
      <c r="D127" s="51">
        <v>154189.44</v>
      </c>
      <c r="E127" s="51">
        <f t="shared" si="24"/>
        <v>281.86084772439358</v>
      </c>
      <c r="F127" s="51">
        <f t="shared" si="18"/>
        <v>70.465211931098395</v>
      </c>
      <c r="G127" s="50">
        <v>46171</v>
      </c>
      <c r="H127" s="70">
        <v>547.04100000000005</v>
      </c>
      <c r="I127" s="2">
        <v>24934141</v>
      </c>
      <c r="J127" s="49">
        <f t="shared" si="19"/>
        <v>62968.61</v>
      </c>
      <c r="K127" s="49">
        <f t="shared" si="26"/>
        <v>91220.83</v>
      </c>
      <c r="L127" s="51">
        <v>26525</v>
      </c>
      <c r="M127" s="2">
        <v>316313</v>
      </c>
      <c r="N127" s="50">
        <v>46167</v>
      </c>
      <c r="O127" s="51">
        <v>530.50469999999996</v>
      </c>
      <c r="P127" s="51">
        <f t="shared" si="20"/>
        <v>49.999557025602229</v>
      </c>
      <c r="Q127" s="45">
        <v>36443.61</v>
      </c>
      <c r="R127" s="52">
        <v>30251</v>
      </c>
      <c r="S127" s="46">
        <v>46195</v>
      </c>
      <c r="T127" s="51"/>
      <c r="U127" s="51"/>
      <c r="V127" s="22"/>
      <c r="W127" s="53"/>
      <c r="X127" s="2"/>
      <c r="Y127" s="51"/>
      <c r="Z127" s="51"/>
      <c r="AA127" s="53"/>
      <c r="AB127" s="53"/>
      <c r="AC127" s="53"/>
      <c r="AD127" s="51"/>
      <c r="AE127" s="51"/>
      <c r="AF127" s="53"/>
      <c r="AG127" s="53"/>
      <c r="AH127" s="53"/>
      <c r="AI127" s="51"/>
      <c r="AJ127" s="51"/>
      <c r="AK127" s="53"/>
      <c r="AL127" s="53"/>
      <c r="AM127" s="53"/>
      <c r="AN127" s="51"/>
      <c r="AO127" s="51"/>
      <c r="AP127" s="53"/>
      <c r="AQ127" s="53"/>
      <c r="AR127" s="53"/>
      <c r="AS127" s="51"/>
      <c r="AT127" s="51"/>
      <c r="AU127" s="53"/>
      <c r="AV127" s="53"/>
      <c r="AW127" s="53"/>
      <c r="AX127" s="51"/>
      <c r="AY127" s="51">
        <f t="shared" si="27"/>
        <v>0</v>
      </c>
      <c r="AZ127" s="55"/>
      <c r="BA127" s="55"/>
      <c r="BB127" s="55"/>
      <c r="BC127" s="51"/>
      <c r="BD127" s="51"/>
    </row>
    <row r="128" spans="1:56" ht="14.4" x14ac:dyDescent="0.3">
      <c r="A128" s="42">
        <v>127</v>
      </c>
      <c r="B128" s="2">
        <v>14522</v>
      </c>
      <c r="C128" s="53" t="s">
        <v>105</v>
      </c>
      <c r="D128" s="45">
        <v>127251.81</v>
      </c>
      <c r="E128" s="51">
        <f t="shared" si="24"/>
        <v>242.99767985869099</v>
      </c>
      <c r="F128" s="51">
        <f t="shared" si="18"/>
        <v>60.749419964672747</v>
      </c>
      <c r="G128" s="50">
        <v>46163</v>
      </c>
      <c r="H128" s="70">
        <v>523.67499999999995</v>
      </c>
      <c r="I128" s="2">
        <v>11323980</v>
      </c>
      <c r="J128" s="49">
        <f t="shared" si="19"/>
        <v>113937.76</v>
      </c>
      <c r="K128" s="49">
        <f t="shared" si="26"/>
        <v>13314.050000000003</v>
      </c>
      <c r="L128" s="51">
        <v>12502</v>
      </c>
      <c r="M128" s="2">
        <v>970675</v>
      </c>
      <c r="N128" s="50">
        <v>46162</v>
      </c>
      <c r="O128" s="51">
        <v>520.91420000000005</v>
      </c>
      <c r="P128" s="51">
        <f t="shared" si="20"/>
        <v>24.000113646354809</v>
      </c>
      <c r="Q128" s="45">
        <v>17740.259999999998</v>
      </c>
      <c r="R128" s="2">
        <v>605000345</v>
      </c>
      <c r="S128" s="5">
        <v>46171</v>
      </c>
      <c r="T128" s="51">
        <v>547.04100000000005</v>
      </c>
      <c r="U128" s="51">
        <f t="shared" si="21"/>
        <v>32.429488831732897</v>
      </c>
      <c r="V128" s="45">
        <v>83695.5</v>
      </c>
      <c r="W128" s="52">
        <v>35458539</v>
      </c>
      <c r="X128" s="50">
        <v>46178</v>
      </c>
      <c r="Y128" s="51">
        <v>563.28920000000005</v>
      </c>
      <c r="Z128" s="51">
        <f t="shared" si="22"/>
        <v>148.58353399994175</v>
      </c>
      <c r="AA128" s="55"/>
      <c r="AB128" s="53"/>
      <c r="AC128" s="53"/>
      <c r="AD128" s="51"/>
      <c r="AE128" s="51"/>
      <c r="AF128" s="53"/>
      <c r="AG128" s="53"/>
      <c r="AH128" s="53"/>
      <c r="AI128" s="51"/>
      <c r="AJ128" s="51"/>
      <c r="AK128" s="53"/>
      <c r="AL128" s="53"/>
      <c r="AM128" s="53"/>
      <c r="AN128" s="51"/>
      <c r="AO128" s="51"/>
      <c r="AP128" s="53"/>
      <c r="AQ128" s="53"/>
      <c r="AR128" s="53"/>
      <c r="AS128" s="51"/>
      <c r="AT128" s="51"/>
      <c r="AU128" s="53"/>
      <c r="AV128" s="53"/>
      <c r="AW128" s="53"/>
      <c r="AX128" s="51"/>
      <c r="AY128" s="51">
        <f t="shared" si="27"/>
        <v>0</v>
      </c>
      <c r="AZ128" s="55"/>
      <c r="BA128" s="55"/>
      <c r="BB128" s="55"/>
      <c r="BC128" s="51"/>
      <c r="BD128" s="51"/>
    </row>
    <row r="129" spans="1:66" ht="14.4" x14ac:dyDescent="0.3">
      <c r="A129" s="42">
        <v>128</v>
      </c>
      <c r="B129" s="2">
        <v>14473</v>
      </c>
      <c r="C129" s="53" t="s">
        <v>139</v>
      </c>
      <c r="D129" s="45">
        <v>170926.79</v>
      </c>
      <c r="E129" s="51">
        <f t="shared" si="24"/>
        <v>328.12849025808856</v>
      </c>
      <c r="F129" s="51">
        <f t="shared" si="18"/>
        <v>82.03212256452214</v>
      </c>
      <c r="G129" s="50">
        <v>46162</v>
      </c>
      <c r="H129" s="70">
        <v>520.91420000000005</v>
      </c>
      <c r="I129" s="2">
        <v>28225121</v>
      </c>
      <c r="J129" s="49">
        <f t="shared" si="19"/>
        <v>51002.82</v>
      </c>
      <c r="K129" s="49">
        <f t="shared" si="26"/>
        <v>119923.97</v>
      </c>
      <c r="L129" s="51">
        <v>51002.82</v>
      </c>
      <c r="M129" s="44">
        <v>732885</v>
      </c>
      <c r="N129" s="50">
        <v>46157</v>
      </c>
      <c r="O129" s="51">
        <v>515.17999999999995</v>
      </c>
      <c r="P129" s="51">
        <f t="shared" si="20"/>
        <v>99.000000000000014</v>
      </c>
      <c r="Q129" s="22"/>
      <c r="R129" s="2"/>
      <c r="S129" s="2"/>
      <c r="T129" s="51"/>
      <c r="U129" s="51"/>
      <c r="V129" s="22"/>
      <c r="W129" s="53"/>
      <c r="X129" s="2"/>
      <c r="Y129" s="51"/>
      <c r="Z129" s="51"/>
      <c r="AA129" s="53"/>
      <c r="AB129" s="53"/>
      <c r="AC129" s="53"/>
      <c r="AD129" s="51"/>
      <c r="AE129" s="51"/>
      <c r="AF129" s="53"/>
      <c r="AG129" s="53"/>
      <c r="AH129" s="53"/>
      <c r="AI129" s="51"/>
      <c r="AJ129" s="51"/>
      <c r="AK129" s="53"/>
      <c r="AL129" s="53"/>
      <c r="AM129" s="53"/>
      <c r="AN129" s="51"/>
      <c r="AO129" s="51"/>
      <c r="AP129" s="53"/>
      <c r="AQ129" s="53"/>
      <c r="AR129" s="53"/>
      <c r="AS129" s="51"/>
      <c r="AT129" s="51"/>
      <c r="AU129" s="53"/>
      <c r="AV129" s="53"/>
      <c r="AW129" s="53"/>
      <c r="AX129" s="51"/>
      <c r="AY129" s="51">
        <f t="shared" si="27"/>
        <v>0</v>
      </c>
      <c r="AZ129" s="55"/>
      <c r="BA129" s="55"/>
      <c r="BB129" s="55"/>
      <c r="BC129" s="51"/>
      <c r="BD129" s="51"/>
    </row>
    <row r="130" spans="1:66" ht="14.4" x14ac:dyDescent="0.3">
      <c r="A130" s="42">
        <v>129</v>
      </c>
      <c r="B130" s="2">
        <v>14439</v>
      </c>
      <c r="C130" s="53" t="s">
        <v>40</v>
      </c>
      <c r="D130" s="45">
        <v>121202.63</v>
      </c>
      <c r="E130" s="51"/>
      <c r="F130" s="51"/>
      <c r="G130" s="50">
        <v>46160</v>
      </c>
      <c r="H130" s="70">
        <v>0</v>
      </c>
      <c r="I130" s="2">
        <v>20482925</v>
      </c>
      <c r="J130" s="49">
        <f t="shared" si="19"/>
        <v>60550.52</v>
      </c>
      <c r="K130" s="49">
        <f t="shared" ref="K130" si="28">D130-J130</f>
        <v>60652.110000000008</v>
      </c>
      <c r="L130" s="51">
        <v>36257.199999999997</v>
      </c>
      <c r="M130" s="44">
        <v>759651</v>
      </c>
      <c r="N130" s="50">
        <v>46161</v>
      </c>
      <c r="O130" s="51">
        <v>517.96190000000001</v>
      </c>
      <c r="P130" s="51">
        <f t="shared" si="20"/>
        <v>69.999743224356848</v>
      </c>
      <c r="Q130" s="45">
        <v>24293.32</v>
      </c>
      <c r="R130" s="52">
        <v>692881</v>
      </c>
      <c r="S130" s="46">
        <v>46189</v>
      </c>
      <c r="T130" s="51">
        <v>592.5163</v>
      </c>
      <c r="U130" s="51">
        <f t="shared" si="21"/>
        <v>41.000256026711838</v>
      </c>
      <c r="V130" s="1"/>
      <c r="W130" s="53"/>
      <c r="X130" s="2"/>
      <c r="Y130" s="51"/>
      <c r="Z130" s="51"/>
      <c r="AA130" s="53"/>
      <c r="AB130" s="53"/>
      <c r="AC130" s="53"/>
      <c r="AD130" s="51"/>
      <c r="AE130" s="51"/>
      <c r="AF130" s="53"/>
      <c r="AG130" s="53"/>
      <c r="AH130" s="53"/>
      <c r="AI130" s="51"/>
      <c r="AJ130" s="51"/>
      <c r="AK130" s="53"/>
      <c r="AL130" s="53"/>
      <c r="AM130" s="53"/>
      <c r="AN130" s="51"/>
      <c r="AO130" s="51"/>
      <c r="AP130" s="53"/>
      <c r="AQ130" s="53"/>
      <c r="AR130" s="53"/>
      <c r="AS130" s="51"/>
      <c r="AT130" s="51"/>
      <c r="AU130" s="53"/>
      <c r="AV130" s="53"/>
      <c r="AW130" s="53"/>
      <c r="AX130" s="51"/>
      <c r="AY130" s="51">
        <f t="shared" si="27"/>
        <v>0</v>
      </c>
      <c r="AZ130" s="55"/>
      <c r="BA130" s="55"/>
      <c r="BB130" s="55"/>
      <c r="BC130" s="51"/>
      <c r="BD130" s="51"/>
    </row>
    <row r="131" spans="1:66" s="100" customFormat="1" ht="14.4" x14ac:dyDescent="0.3">
      <c r="A131" s="88">
        <v>130</v>
      </c>
      <c r="B131" s="121">
        <v>14382</v>
      </c>
      <c r="C131" s="122" t="s">
        <v>106</v>
      </c>
      <c r="D131" s="123">
        <v>76798.62</v>
      </c>
      <c r="E131" s="51"/>
      <c r="F131" s="51"/>
      <c r="G131" s="124">
        <v>46155</v>
      </c>
      <c r="H131" s="70">
        <v>0</v>
      </c>
      <c r="I131" s="121">
        <v>26040051</v>
      </c>
      <c r="J131" s="125">
        <f t="shared" ref="J131:J151" si="29">L131+Q131+V131+AA131+AF131+AK131+AP131+AU131+AZ131+BE131+BJ131</f>
        <v>58619.5</v>
      </c>
      <c r="K131" s="125">
        <f t="shared" ref="K131:K151" si="30">D131-J131</f>
        <v>18179.119999999995</v>
      </c>
      <c r="L131" s="125">
        <v>27468.5</v>
      </c>
      <c r="M131" s="126">
        <v>427451</v>
      </c>
      <c r="N131" s="124">
        <v>46171</v>
      </c>
      <c r="O131" s="125">
        <v>547.04100000000005</v>
      </c>
      <c r="P131" s="127">
        <f t="shared" si="20"/>
        <v>50.212872526922112</v>
      </c>
      <c r="Q131" s="125">
        <v>31151</v>
      </c>
      <c r="R131" s="128">
        <v>210921</v>
      </c>
      <c r="S131" s="129">
        <v>46203</v>
      </c>
      <c r="T131" s="125">
        <v>623.02229999999997</v>
      </c>
      <c r="U131" s="127">
        <f t="shared" si="21"/>
        <v>49.999815415916899</v>
      </c>
      <c r="V131" s="130"/>
      <c r="W131" s="122"/>
      <c r="X131" s="121"/>
      <c r="Y131" s="125"/>
      <c r="Z131" s="125"/>
      <c r="AA131" s="122"/>
      <c r="AB131" s="122"/>
      <c r="AC131" s="122"/>
      <c r="AD131" s="125"/>
      <c r="AE131" s="125"/>
      <c r="AF131" s="122"/>
      <c r="AG131" s="122"/>
      <c r="AH131" s="122"/>
      <c r="AI131" s="125"/>
      <c r="AJ131" s="125"/>
      <c r="AK131" s="122"/>
      <c r="AL131" s="122"/>
      <c r="AM131" s="122"/>
      <c r="AN131" s="125"/>
      <c r="AO131" s="125"/>
      <c r="AP131" s="122"/>
      <c r="AQ131" s="122"/>
      <c r="AR131" s="122"/>
      <c r="AS131" s="125"/>
      <c r="AT131" s="125"/>
      <c r="AU131" s="122"/>
      <c r="AV131" s="122"/>
      <c r="AW131" s="122"/>
      <c r="AX131" s="125"/>
      <c r="AY131" s="125">
        <f t="shared" si="27"/>
        <v>0</v>
      </c>
      <c r="AZ131" s="131"/>
      <c r="BA131" s="131"/>
      <c r="BB131" s="131"/>
      <c r="BC131" s="125"/>
      <c r="BD131" s="125"/>
    </row>
    <row r="132" spans="1:66" ht="14.4" x14ac:dyDescent="0.3">
      <c r="A132" s="139">
        <v>131</v>
      </c>
      <c r="B132" s="116">
        <v>13006</v>
      </c>
      <c r="C132" s="53" t="s">
        <v>188</v>
      </c>
      <c r="D132" s="2">
        <v>68589.36</v>
      </c>
      <c r="E132" s="51"/>
      <c r="F132" s="51"/>
      <c r="G132" s="50">
        <v>46009</v>
      </c>
      <c r="H132" s="70">
        <v>0</v>
      </c>
      <c r="I132" s="2">
        <v>12501930</v>
      </c>
      <c r="J132" s="49">
        <f t="shared" si="29"/>
        <v>40308.03</v>
      </c>
      <c r="K132" s="49">
        <f t="shared" si="30"/>
        <v>28281.33</v>
      </c>
      <c r="L132" s="51">
        <v>6000</v>
      </c>
      <c r="M132" s="44">
        <v>688748</v>
      </c>
      <c r="N132" s="50">
        <v>46042</v>
      </c>
      <c r="O132" s="51">
        <v>344.50709999999998</v>
      </c>
      <c r="P132" s="51">
        <f t="shared" ref="P132:P146" si="31">L132/O132</f>
        <v>17.416186778153484</v>
      </c>
      <c r="Q132" s="51">
        <v>6000</v>
      </c>
      <c r="R132" s="43">
        <v>736584</v>
      </c>
      <c r="S132" s="140">
        <v>46042</v>
      </c>
      <c r="T132" s="51">
        <v>344.50709999999998</v>
      </c>
      <c r="U132" s="51">
        <f t="shared" ref="U132:U136" si="32">Q132/T132</f>
        <v>17.416186778153484</v>
      </c>
      <c r="V132" s="51">
        <v>13872</v>
      </c>
      <c r="W132" s="2">
        <v>454722</v>
      </c>
      <c r="X132" s="50">
        <v>46071</v>
      </c>
      <c r="Y132" s="6">
        <v>390.29</v>
      </c>
      <c r="Z132" s="51">
        <f t="shared" ref="Z132:Z134" si="33">V132/Y132</f>
        <v>35.542801506572033</v>
      </c>
      <c r="AA132" s="51">
        <v>14436.03</v>
      </c>
      <c r="AB132" s="44">
        <v>14639</v>
      </c>
      <c r="AC132" s="50">
        <v>46132</v>
      </c>
      <c r="AD132" s="51">
        <v>481.21769999999998</v>
      </c>
      <c r="AE132" s="51">
        <f t="shared" ref="AE132:AE134" si="34">AA132/AD132</f>
        <v>29.998958891162985</v>
      </c>
      <c r="AF132" s="55"/>
      <c r="AG132" s="55"/>
      <c r="AH132" s="55"/>
      <c r="AI132" s="6"/>
      <c r="AJ132" s="55"/>
      <c r="AK132" s="55"/>
      <c r="AL132" s="55"/>
      <c r="AM132" s="55"/>
      <c r="AN132" s="1"/>
      <c r="AO132" s="51"/>
      <c r="AP132" s="55"/>
      <c r="AQ132" s="55"/>
      <c r="AR132" s="55"/>
      <c r="AS132" s="1"/>
      <c r="AT132" s="55"/>
      <c r="AU132" s="55"/>
      <c r="AV132" s="55"/>
      <c r="AW132" s="55"/>
      <c r="AX132" s="1"/>
      <c r="AY132" s="55"/>
      <c r="AZ132" s="55"/>
      <c r="BA132" s="55"/>
      <c r="BB132" s="55"/>
      <c r="BC132" s="1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</row>
    <row r="133" spans="1:66" ht="14.4" x14ac:dyDescent="0.3">
      <c r="A133" s="139">
        <v>132</v>
      </c>
      <c r="B133" s="116">
        <v>13299</v>
      </c>
      <c r="C133" s="117" t="s">
        <v>189</v>
      </c>
      <c r="D133" s="119">
        <v>138451.20000000001</v>
      </c>
      <c r="E133" s="51">
        <f t="shared" ref="E133:E151" si="35">D133/H133</f>
        <v>464.37834717623855</v>
      </c>
      <c r="F133" s="51">
        <f t="shared" ref="F133:F151" si="36">E133/4</f>
        <v>116.09458679405964</v>
      </c>
      <c r="G133" s="50">
        <v>46021</v>
      </c>
      <c r="H133" s="70">
        <v>298.1431</v>
      </c>
      <c r="I133" s="118">
        <v>12993501</v>
      </c>
      <c r="J133" s="49">
        <f t="shared" si="29"/>
        <v>133581.80000000002</v>
      </c>
      <c r="K133" s="49">
        <f t="shared" si="30"/>
        <v>4869.3999999999942</v>
      </c>
      <c r="L133" s="51">
        <v>41535.660000000003</v>
      </c>
      <c r="M133" s="44">
        <v>979927</v>
      </c>
      <c r="N133" s="50">
        <v>46014</v>
      </c>
      <c r="O133" s="45">
        <v>286.995</v>
      </c>
      <c r="P133" s="51">
        <f t="shared" si="31"/>
        <v>144.72607536716669</v>
      </c>
      <c r="Q133" s="51">
        <v>13669.6</v>
      </c>
      <c r="R133" s="43">
        <v>524450</v>
      </c>
      <c r="S133" s="3">
        <v>46042</v>
      </c>
      <c r="T133" s="51">
        <v>344.50709999999998</v>
      </c>
      <c r="U133" s="51">
        <f t="shared" si="32"/>
        <v>39.678717797107815</v>
      </c>
      <c r="V133" s="2">
        <v>12219.000000000004</v>
      </c>
      <c r="W133" s="2">
        <v>601000297</v>
      </c>
      <c r="X133" s="50">
        <v>46052</v>
      </c>
      <c r="Y133" s="51">
        <v>367.30689999999998</v>
      </c>
      <c r="Z133" s="51">
        <f t="shared" si="33"/>
        <v>33.266459192571673</v>
      </c>
      <c r="AA133" s="51">
        <v>11600</v>
      </c>
      <c r="AB133" s="2">
        <v>602000371</v>
      </c>
      <c r="AC133" s="50">
        <v>46080</v>
      </c>
      <c r="AD133" s="51">
        <v>417.35789999999997</v>
      </c>
      <c r="AE133" s="51">
        <f t="shared" si="34"/>
        <v>27.793891046509483</v>
      </c>
      <c r="AF133" s="31">
        <v>2276.8000000000002</v>
      </c>
      <c r="AG133" s="24">
        <v>488003</v>
      </c>
      <c r="AH133" s="50">
        <v>46097</v>
      </c>
      <c r="AI133" s="51">
        <v>446.8048</v>
      </c>
      <c r="AJ133" s="51">
        <f t="shared" ref="AJ133:AJ134" si="37">AF133/AI133</f>
        <v>5.0957375569823782</v>
      </c>
      <c r="AK133" s="31">
        <v>20510</v>
      </c>
      <c r="AL133" s="24">
        <v>493550</v>
      </c>
      <c r="AM133" s="50">
        <v>46097</v>
      </c>
      <c r="AN133" s="51">
        <v>446.8048</v>
      </c>
      <c r="AO133" s="51">
        <f t="shared" ref="AO133:AO134" si="38">AK133/AN133</f>
        <v>45.903714552753236</v>
      </c>
      <c r="AP133" s="51">
        <v>13613.3</v>
      </c>
      <c r="AQ133" s="2">
        <v>604000300</v>
      </c>
      <c r="AR133" s="50">
        <v>46147</v>
      </c>
      <c r="AS133" s="51">
        <v>530.50469999999996</v>
      </c>
      <c r="AT133" s="51">
        <f t="shared" ref="AT133:AT134" si="39">AP133/AS133</f>
        <v>25.661035613822083</v>
      </c>
      <c r="AU133" s="66">
        <v>18157.439999999999</v>
      </c>
      <c r="AV133" s="2">
        <v>605000344</v>
      </c>
      <c r="AW133" s="5">
        <v>46171</v>
      </c>
      <c r="AX133" s="45">
        <v>547.04100000000005</v>
      </c>
      <c r="AY133" s="51">
        <f t="shared" ref="AY133" si="40">AU133/AX133</f>
        <v>33.192100774896211</v>
      </c>
      <c r="AZ133" s="55"/>
      <c r="BA133" s="55"/>
      <c r="BB133" s="55"/>
      <c r="BC133" s="1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</row>
    <row r="134" spans="1:66" ht="14.4" x14ac:dyDescent="0.3">
      <c r="A134" s="139">
        <v>133</v>
      </c>
      <c r="B134" s="116">
        <v>13319</v>
      </c>
      <c r="C134" s="117" t="s">
        <v>190</v>
      </c>
      <c r="D134" s="119">
        <v>419601</v>
      </c>
      <c r="E134" s="51"/>
      <c r="F134" s="51"/>
      <c r="G134" s="50">
        <v>46043</v>
      </c>
      <c r="H134" s="70">
        <v>0</v>
      </c>
      <c r="I134" s="118">
        <v>15775370</v>
      </c>
      <c r="J134" s="49">
        <f t="shared" si="29"/>
        <v>234799.96</v>
      </c>
      <c r="K134" s="49">
        <f t="shared" si="30"/>
        <v>184801.04</v>
      </c>
      <c r="L134" s="51">
        <v>39983.58</v>
      </c>
      <c r="M134" s="44">
        <v>258905</v>
      </c>
      <c r="N134" s="50">
        <v>46042</v>
      </c>
      <c r="O134" s="51">
        <v>344.50709999999998</v>
      </c>
      <c r="P134" s="51">
        <f t="shared" si="31"/>
        <v>116.06024955654036</v>
      </c>
      <c r="Q134" s="51">
        <v>26930.31</v>
      </c>
      <c r="R134" s="2">
        <v>477810</v>
      </c>
      <c r="S134" s="50">
        <v>46065</v>
      </c>
      <c r="T134" s="6">
        <v>390.29</v>
      </c>
      <c r="U134" s="51">
        <f t="shared" si="32"/>
        <v>69.000768659202137</v>
      </c>
      <c r="V134" s="51">
        <v>26884.560000000001</v>
      </c>
      <c r="W134" s="2">
        <v>848030</v>
      </c>
      <c r="X134" s="50">
        <v>46066</v>
      </c>
      <c r="Y134" s="51">
        <v>396.36739999999998</v>
      </c>
      <c r="Z134" s="51">
        <f t="shared" si="33"/>
        <v>67.827374299702754</v>
      </c>
      <c r="AA134" s="14">
        <v>33104.639999999999</v>
      </c>
      <c r="AB134" s="38">
        <v>619693</v>
      </c>
      <c r="AC134" s="12">
        <v>46128</v>
      </c>
      <c r="AD134" s="51">
        <v>479.77749999999997</v>
      </c>
      <c r="AE134" s="51">
        <f t="shared" si="34"/>
        <v>68.999984367753811</v>
      </c>
      <c r="AF134" s="14">
        <v>32801.870000000003</v>
      </c>
      <c r="AG134" s="38">
        <v>239430</v>
      </c>
      <c r="AH134" s="12">
        <v>46128</v>
      </c>
      <c r="AI134" s="51">
        <v>479.77749999999997</v>
      </c>
      <c r="AJ134" s="51">
        <f t="shared" si="37"/>
        <v>68.368921010259967</v>
      </c>
      <c r="AK134" s="14">
        <v>35244.32</v>
      </c>
      <c r="AL134" s="38">
        <v>590709</v>
      </c>
      <c r="AM134" s="12">
        <v>46156</v>
      </c>
      <c r="AN134" s="6">
        <v>510.78</v>
      </c>
      <c r="AO134" s="51">
        <f t="shared" si="38"/>
        <v>69.000978895023295</v>
      </c>
      <c r="AP134" s="45">
        <v>39850.68</v>
      </c>
      <c r="AQ134" s="52">
        <v>252251</v>
      </c>
      <c r="AR134" s="46">
        <v>46184</v>
      </c>
      <c r="AS134" s="51">
        <v>577.54</v>
      </c>
      <c r="AT134" s="51">
        <f t="shared" si="39"/>
        <v>69.0007272223569</v>
      </c>
      <c r="AU134" s="55"/>
      <c r="AV134" s="55"/>
      <c r="AW134" s="55"/>
      <c r="AX134" s="1"/>
      <c r="AY134" s="55"/>
      <c r="AZ134" s="55"/>
      <c r="BA134" s="55"/>
      <c r="BB134" s="55"/>
      <c r="BC134" s="1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</row>
    <row r="135" spans="1:66" ht="14.4" x14ac:dyDescent="0.3">
      <c r="A135" s="139">
        <v>134</v>
      </c>
      <c r="B135" s="116">
        <v>13798</v>
      </c>
      <c r="C135" s="117" t="s">
        <v>191</v>
      </c>
      <c r="D135" s="119">
        <v>238144.4</v>
      </c>
      <c r="E135" s="51">
        <f t="shared" si="35"/>
        <v>532.99427400958984</v>
      </c>
      <c r="F135" s="51">
        <f t="shared" si="36"/>
        <v>133.24856850239746</v>
      </c>
      <c r="G135" s="50">
        <v>46097</v>
      </c>
      <c r="H135" s="70">
        <v>446.8048</v>
      </c>
      <c r="I135" s="118">
        <v>16440131</v>
      </c>
      <c r="J135" s="49">
        <f t="shared" si="29"/>
        <v>0</v>
      </c>
      <c r="K135" s="49">
        <f t="shared" si="30"/>
        <v>238144.4</v>
      </c>
      <c r="L135" s="51"/>
      <c r="M135" s="44"/>
      <c r="N135" s="50"/>
      <c r="O135" s="1"/>
      <c r="P135" s="51"/>
      <c r="Q135" s="1"/>
      <c r="R135" s="139"/>
      <c r="S135" s="139"/>
      <c r="T135" s="6"/>
      <c r="U135" s="51"/>
      <c r="V135" s="1"/>
      <c r="W135" s="55"/>
      <c r="X135" s="139"/>
      <c r="Y135" s="1"/>
      <c r="Z135" s="51"/>
      <c r="AA135" s="55"/>
      <c r="AB135" s="55"/>
      <c r="AC135" s="55"/>
      <c r="AD135" s="1"/>
      <c r="AE135" s="51"/>
      <c r="AF135" s="55"/>
      <c r="AG135" s="55"/>
      <c r="AH135" s="55"/>
      <c r="AI135" s="6"/>
      <c r="AJ135" s="55"/>
      <c r="AK135" s="55"/>
      <c r="AL135" s="55"/>
      <c r="AM135" s="55"/>
      <c r="AN135" s="1"/>
      <c r="AO135" s="55"/>
      <c r="AP135" s="55"/>
      <c r="AQ135" s="55"/>
      <c r="AR135" s="55"/>
      <c r="AS135" s="1"/>
      <c r="AT135" s="51"/>
      <c r="AU135" s="55"/>
      <c r="AV135" s="55"/>
      <c r="AW135" s="55"/>
      <c r="AX135" s="1"/>
      <c r="AY135" s="55"/>
      <c r="AZ135" s="55"/>
      <c r="BA135" s="55"/>
      <c r="BB135" s="55"/>
      <c r="BC135" s="1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</row>
    <row r="136" spans="1:66" ht="14.4" x14ac:dyDescent="0.3">
      <c r="A136" s="139">
        <v>135</v>
      </c>
      <c r="B136" s="116">
        <v>14728</v>
      </c>
      <c r="C136" s="117" t="s">
        <v>192</v>
      </c>
      <c r="D136" s="119">
        <v>32296.42</v>
      </c>
      <c r="E136" s="51">
        <f t="shared" si="35"/>
        <v>57.335414916529544</v>
      </c>
      <c r="F136" s="51">
        <f t="shared" si="36"/>
        <v>14.333853729132386</v>
      </c>
      <c r="G136" s="50">
        <v>46178</v>
      </c>
      <c r="H136" s="70">
        <v>563.28920000000005</v>
      </c>
      <c r="I136" s="118">
        <v>10277666</v>
      </c>
      <c r="J136" s="49">
        <f t="shared" si="29"/>
        <v>15548.23</v>
      </c>
      <c r="K136" s="49">
        <f t="shared" si="30"/>
        <v>16748.189999999999</v>
      </c>
      <c r="L136" s="51">
        <v>9688.93</v>
      </c>
      <c r="M136" s="44">
        <v>186041</v>
      </c>
      <c r="N136" s="50">
        <v>46162</v>
      </c>
      <c r="O136" s="51">
        <v>520.91420000000005</v>
      </c>
      <c r="P136" s="51">
        <f t="shared" si="31"/>
        <v>18.599857711692252</v>
      </c>
      <c r="Q136" s="2">
        <v>5859.2999999999993</v>
      </c>
      <c r="R136" s="56">
        <v>606000329</v>
      </c>
      <c r="S136" s="3">
        <v>46203</v>
      </c>
      <c r="T136" s="63">
        <v>623.02229999999997</v>
      </c>
      <c r="U136" s="51">
        <f t="shared" si="32"/>
        <v>9.4046392881924117</v>
      </c>
      <c r="V136" s="55"/>
      <c r="W136" s="55"/>
      <c r="X136" s="139"/>
      <c r="Y136" s="1"/>
      <c r="Z136" s="139"/>
      <c r="AA136" s="55"/>
      <c r="AB136" s="55"/>
      <c r="AC136" s="55"/>
      <c r="AD136" s="1"/>
      <c r="AE136" s="55"/>
      <c r="AF136" s="55"/>
      <c r="AG136" s="55"/>
      <c r="AH136" s="55"/>
      <c r="AI136" s="6"/>
      <c r="AJ136" s="55"/>
      <c r="AK136" s="55"/>
      <c r="AL136" s="55"/>
      <c r="AM136" s="55"/>
      <c r="AN136" s="1"/>
      <c r="AO136" s="55"/>
      <c r="AP136" s="55"/>
      <c r="AQ136" s="55"/>
      <c r="AR136" s="55"/>
      <c r="AS136" s="1"/>
      <c r="AT136" s="55"/>
      <c r="AU136" s="55"/>
      <c r="AV136" s="55"/>
      <c r="AW136" s="55"/>
      <c r="AX136" s="1"/>
      <c r="AY136" s="55"/>
      <c r="AZ136" s="55"/>
      <c r="BA136" s="55"/>
      <c r="BB136" s="55"/>
      <c r="BC136" s="1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</row>
    <row r="137" spans="1:66" ht="14.4" x14ac:dyDescent="0.3">
      <c r="A137" s="139">
        <v>136</v>
      </c>
      <c r="B137" s="116">
        <v>14693</v>
      </c>
      <c r="C137" s="117" t="s">
        <v>193</v>
      </c>
      <c r="D137" s="119">
        <v>205579.51999999999</v>
      </c>
      <c r="E137" s="51"/>
      <c r="F137" s="51"/>
      <c r="G137" s="50">
        <v>46176</v>
      </c>
      <c r="H137" s="70">
        <v>0</v>
      </c>
      <c r="I137" s="118">
        <v>10867663</v>
      </c>
      <c r="J137" s="49">
        <f t="shared" si="29"/>
        <v>0</v>
      </c>
      <c r="K137" s="49">
        <f t="shared" si="30"/>
        <v>205579.51999999999</v>
      </c>
      <c r="L137" s="51"/>
      <c r="M137" s="44"/>
      <c r="N137" s="50"/>
      <c r="O137" s="1"/>
      <c r="P137" s="51"/>
      <c r="Q137" s="1"/>
      <c r="R137" s="139"/>
      <c r="S137" s="139"/>
      <c r="T137" s="6"/>
      <c r="U137" s="139"/>
      <c r="V137" s="1"/>
      <c r="W137" s="55"/>
      <c r="X137" s="139"/>
      <c r="Y137" s="1"/>
      <c r="Z137" s="139"/>
      <c r="AA137" s="55"/>
      <c r="AB137" s="55"/>
      <c r="AC137" s="55"/>
      <c r="AD137" s="1"/>
      <c r="AE137" s="55"/>
      <c r="AF137" s="55"/>
      <c r="AG137" s="55"/>
      <c r="AH137" s="55"/>
      <c r="AI137" s="6"/>
      <c r="AJ137" s="55"/>
      <c r="AK137" s="55"/>
      <c r="AL137" s="55"/>
      <c r="AM137" s="55"/>
      <c r="AN137" s="1"/>
      <c r="AO137" s="55"/>
      <c r="AP137" s="55"/>
      <c r="AQ137" s="55"/>
      <c r="AR137" s="55"/>
      <c r="AS137" s="1"/>
      <c r="AT137" s="55"/>
      <c r="AU137" s="55"/>
      <c r="AV137" s="55"/>
      <c r="AW137" s="55"/>
      <c r="AX137" s="1"/>
      <c r="AY137" s="55"/>
      <c r="AZ137" s="55"/>
      <c r="BA137" s="55"/>
      <c r="BB137" s="55"/>
      <c r="BC137" s="1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</row>
    <row r="138" spans="1:66" ht="14.4" x14ac:dyDescent="0.3">
      <c r="A138" s="139">
        <v>137</v>
      </c>
      <c r="B138" s="116">
        <v>14851</v>
      </c>
      <c r="C138" s="117" t="s">
        <v>194</v>
      </c>
      <c r="D138" s="119">
        <v>90898.08</v>
      </c>
      <c r="E138" s="51">
        <f t="shared" si="35"/>
        <v>153.41026061223971</v>
      </c>
      <c r="F138" s="51">
        <f t="shared" si="36"/>
        <v>38.352565153059928</v>
      </c>
      <c r="G138" s="50">
        <v>46189</v>
      </c>
      <c r="H138" s="70">
        <v>592.5163</v>
      </c>
      <c r="I138" s="118">
        <v>16249183</v>
      </c>
      <c r="J138" s="49">
        <f t="shared" si="29"/>
        <v>27385.96</v>
      </c>
      <c r="K138" s="49">
        <f t="shared" si="30"/>
        <v>63512.12</v>
      </c>
      <c r="L138" s="51">
        <v>27385.96</v>
      </c>
      <c r="M138" s="44">
        <v>480893</v>
      </c>
      <c r="N138" s="50">
        <v>46185</v>
      </c>
      <c r="O138" s="6">
        <v>582.67999999999995</v>
      </c>
      <c r="P138" s="51">
        <f t="shared" si="31"/>
        <v>47</v>
      </c>
      <c r="Q138" s="1"/>
      <c r="R138" s="139"/>
      <c r="S138" s="139"/>
      <c r="T138" s="6"/>
      <c r="U138" s="139"/>
      <c r="V138" s="1"/>
      <c r="W138" s="55"/>
      <c r="X138" s="139"/>
      <c r="Y138" s="1"/>
      <c r="Z138" s="139"/>
      <c r="AA138" s="55"/>
      <c r="AB138" s="55"/>
      <c r="AC138" s="55"/>
      <c r="AD138" s="1"/>
      <c r="AE138" s="55"/>
      <c r="AF138" s="55"/>
      <c r="AG138" s="55"/>
      <c r="AH138" s="55"/>
      <c r="AI138" s="6"/>
      <c r="AJ138" s="55"/>
      <c r="AK138" s="55"/>
      <c r="AL138" s="55"/>
      <c r="AM138" s="55"/>
      <c r="AN138" s="1"/>
      <c r="AO138" s="55"/>
      <c r="AP138" s="55"/>
      <c r="AQ138" s="55"/>
      <c r="AR138" s="55"/>
      <c r="AS138" s="1"/>
      <c r="AT138" s="55"/>
      <c r="AU138" s="55"/>
      <c r="AV138" s="55"/>
      <c r="AW138" s="55"/>
      <c r="AX138" s="1"/>
      <c r="AY138" s="55"/>
      <c r="AZ138" s="55"/>
      <c r="BA138" s="55"/>
      <c r="BB138" s="55"/>
      <c r="BC138" s="1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</row>
    <row r="139" spans="1:66" ht="14.4" x14ac:dyDescent="0.3">
      <c r="A139" s="139">
        <v>138</v>
      </c>
      <c r="B139" s="116">
        <v>14908</v>
      </c>
      <c r="C139" s="117" t="s">
        <v>195</v>
      </c>
      <c r="D139" s="119">
        <v>145017.53</v>
      </c>
      <c r="E139" s="51">
        <f t="shared" si="35"/>
        <v>240.75996908019559</v>
      </c>
      <c r="F139" s="51">
        <f t="shared" si="36"/>
        <v>60.189992270048897</v>
      </c>
      <c r="G139" s="50">
        <v>46191</v>
      </c>
      <c r="H139" s="70">
        <v>602.33240000000001</v>
      </c>
      <c r="I139" s="118">
        <v>14107157</v>
      </c>
      <c r="J139" s="49">
        <f t="shared" si="29"/>
        <v>43564.94</v>
      </c>
      <c r="K139" s="49">
        <f t="shared" si="30"/>
        <v>101452.59</v>
      </c>
      <c r="L139" s="51">
        <v>43564.94</v>
      </c>
      <c r="M139" s="44">
        <v>855835</v>
      </c>
      <c r="N139" s="50">
        <v>46190</v>
      </c>
      <c r="O139" s="2">
        <v>596.78240000000005</v>
      </c>
      <c r="P139" s="51">
        <f t="shared" si="31"/>
        <v>72.999706425658658</v>
      </c>
      <c r="Q139" s="1"/>
      <c r="R139" s="139"/>
      <c r="S139" s="139"/>
      <c r="T139" s="6"/>
      <c r="U139" s="139"/>
      <c r="V139" s="1"/>
      <c r="W139" s="55"/>
      <c r="X139" s="139"/>
      <c r="Y139" s="1"/>
      <c r="Z139" s="139"/>
      <c r="AA139" s="55"/>
      <c r="AB139" s="55"/>
      <c r="AC139" s="55"/>
      <c r="AD139" s="1"/>
      <c r="AE139" s="55"/>
      <c r="AF139" s="55"/>
      <c r="AG139" s="55"/>
      <c r="AH139" s="55"/>
      <c r="AI139" s="6"/>
      <c r="AJ139" s="55"/>
      <c r="AK139" s="55"/>
      <c r="AL139" s="55"/>
      <c r="AM139" s="55"/>
      <c r="AN139" s="1"/>
      <c r="AO139" s="55"/>
      <c r="AP139" s="55"/>
      <c r="AQ139" s="55"/>
      <c r="AR139" s="55"/>
      <c r="AS139" s="1"/>
      <c r="AT139" s="55"/>
      <c r="AU139" s="55"/>
      <c r="AV139" s="55"/>
      <c r="AW139" s="55"/>
      <c r="AX139" s="1"/>
      <c r="AY139" s="55"/>
      <c r="AZ139" s="55"/>
      <c r="BA139" s="55"/>
      <c r="BB139" s="55"/>
      <c r="BC139" s="1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</row>
    <row r="140" spans="1:66" ht="14.4" x14ac:dyDescent="0.3">
      <c r="A140" s="139">
        <v>139</v>
      </c>
      <c r="B140" s="116">
        <v>14909</v>
      </c>
      <c r="C140" s="117" t="s">
        <v>196</v>
      </c>
      <c r="D140" s="119">
        <v>134872.26999999999</v>
      </c>
      <c r="E140" s="51">
        <f t="shared" si="35"/>
        <v>223.91667790077369</v>
      </c>
      <c r="F140" s="51">
        <f t="shared" si="36"/>
        <v>55.979169475193423</v>
      </c>
      <c r="G140" s="50">
        <v>46191</v>
      </c>
      <c r="H140" s="70">
        <v>602.33240000000001</v>
      </c>
      <c r="I140" s="118">
        <v>20327445</v>
      </c>
      <c r="J140" s="49">
        <f t="shared" si="29"/>
        <v>40581.040000000001</v>
      </c>
      <c r="K140" s="49">
        <f t="shared" si="30"/>
        <v>94291.229999999981</v>
      </c>
      <c r="L140" s="51">
        <v>40581.040000000001</v>
      </c>
      <c r="M140" s="44">
        <v>395263</v>
      </c>
      <c r="N140" s="50">
        <v>46190</v>
      </c>
      <c r="O140" s="2">
        <v>596.78240000000005</v>
      </c>
      <c r="P140" s="51">
        <f t="shared" si="31"/>
        <v>67.999726533490261</v>
      </c>
      <c r="Q140" s="1"/>
      <c r="R140" s="139"/>
      <c r="S140" s="139"/>
      <c r="T140" s="6"/>
      <c r="U140" s="139"/>
      <c r="V140" s="1"/>
      <c r="W140" s="55"/>
      <c r="X140" s="139"/>
      <c r="Y140" s="1"/>
      <c r="Z140" s="139"/>
      <c r="AA140" s="55"/>
      <c r="AB140" s="55"/>
      <c r="AC140" s="55"/>
      <c r="AD140" s="1"/>
      <c r="AE140" s="55"/>
      <c r="AF140" s="55"/>
      <c r="AG140" s="55"/>
      <c r="AH140" s="55"/>
      <c r="AI140" s="6"/>
      <c r="AJ140" s="55"/>
      <c r="AK140" s="55"/>
      <c r="AL140" s="55"/>
      <c r="AM140" s="55"/>
      <c r="AN140" s="1"/>
      <c r="AO140" s="55"/>
      <c r="AP140" s="55"/>
      <c r="AQ140" s="55"/>
      <c r="AR140" s="55"/>
      <c r="AS140" s="1"/>
      <c r="AT140" s="55"/>
      <c r="AU140" s="55"/>
      <c r="AV140" s="55"/>
      <c r="AW140" s="55"/>
      <c r="AX140" s="1"/>
      <c r="AY140" s="55"/>
      <c r="AZ140" s="55"/>
      <c r="BA140" s="55"/>
      <c r="BB140" s="55"/>
      <c r="BC140" s="1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</row>
    <row r="141" spans="1:66" ht="14.4" x14ac:dyDescent="0.3">
      <c r="A141" s="139">
        <v>140</v>
      </c>
      <c r="B141" s="116">
        <v>14956</v>
      </c>
      <c r="C141" s="117" t="s">
        <v>197</v>
      </c>
      <c r="D141" s="119">
        <v>93701.8</v>
      </c>
      <c r="E141" s="51">
        <f t="shared" si="35"/>
        <v>152.46539289186475</v>
      </c>
      <c r="F141" s="51">
        <f t="shared" si="36"/>
        <v>38.116348222966188</v>
      </c>
      <c r="G141" s="50">
        <v>46195</v>
      </c>
      <c r="H141" s="70">
        <v>614.57749999999999</v>
      </c>
      <c r="I141" s="118">
        <v>19905972</v>
      </c>
      <c r="J141" s="49">
        <f t="shared" si="29"/>
        <v>27939.94</v>
      </c>
      <c r="K141" s="49">
        <f t="shared" si="30"/>
        <v>65761.86</v>
      </c>
      <c r="L141" s="51">
        <v>27939.94</v>
      </c>
      <c r="M141" s="44">
        <v>984083</v>
      </c>
      <c r="N141" s="50">
        <v>46192</v>
      </c>
      <c r="O141" s="45">
        <v>605.39369999999997</v>
      </c>
      <c r="P141" s="51">
        <f t="shared" si="31"/>
        <v>46.151686084609075</v>
      </c>
      <c r="Q141" s="1"/>
      <c r="R141" s="139"/>
      <c r="S141" s="139"/>
      <c r="T141" s="6"/>
      <c r="U141" s="139"/>
      <c r="V141" s="1"/>
      <c r="W141" s="55"/>
      <c r="X141" s="139"/>
      <c r="Y141" s="1"/>
      <c r="Z141" s="139"/>
      <c r="AA141" s="55"/>
      <c r="AB141" s="55"/>
      <c r="AC141" s="55"/>
      <c r="AD141" s="1"/>
      <c r="AE141" s="55"/>
      <c r="AF141" s="55"/>
      <c r="AG141" s="55"/>
      <c r="AH141" s="55"/>
      <c r="AI141" s="6"/>
      <c r="AJ141" s="55"/>
      <c r="AK141" s="55"/>
      <c r="AL141" s="55"/>
      <c r="AM141" s="55"/>
      <c r="AN141" s="1"/>
      <c r="AO141" s="55"/>
      <c r="AP141" s="55"/>
      <c r="AQ141" s="55"/>
      <c r="AR141" s="55"/>
      <c r="AS141" s="1"/>
      <c r="AT141" s="55"/>
      <c r="AU141" s="55"/>
      <c r="AV141" s="55"/>
      <c r="AW141" s="55"/>
      <c r="AX141" s="1"/>
      <c r="AY141" s="55"/>
      <c r="AZ141" s="55"/>
      <c r="BA141" s="55"/>
      <c r="BB141" s="55"/>
      <c r="BC141" s="1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</row>
    <row r="142" spans="1:66" ht="14.4" x14ac:dyDescent="0.3">
      <c r="A142" s="139">
        <v>141</v>
      </c>
      <c r="B142" s="116">
        <v>14955</v>
      </c>
      <c r="C142" s="117" t="s">
        <v>198</v>
      </c>
      <c r="D142" s="119">
        <v>208226.19</v>
      </c>
      <c r="E142" s="51">
        <f t="shared" si="35"/>
        <v>338.81193177426769</v>
      </c>
      <c r="F142" s="51">
        <f t="shared" si="36"/>
        <v>84.702982943566923</v>
      </c>
      <c r="G142" s="50">
        <v>46195</v>
      </c>
      <c r="H142" s="70">
        <v>614.57749999999999</v>
      </c>
      <c r="I142" s="118">
        <v>14061810</v>
      </c>
      <c r="J142" s="49">
        <f t="shared" si="29"/>
        <v>0</v>
      </c>
      <c r="K142" s="49">
        <f t="shared" si="30"/>
        <v>208226.19</v>
      </c>
      <c r="L142" s="51"/>
      <c r="M142" s="44"/>
      <c r="N142" s="50"/>
      <c r="O142" s="1"/>
      <c r="P142" s="51"/>
      <c r="Q142" s="1"/>
      <c r="R142" s="139"/>
      <c r="S142" s="139"/>
      <c r="T142" s="6"/>
      <c r="U142" s="139"/>
      <c r="V142" s="1"/>
      <c r="W142" s="55"/>
      <c r="X142" s="139"/>
      <c r="Y142" s="1"/>
      <c r="Z142" s="139"/>
      <c r="AA142" s="55"/>
      <c r="AB142" s="55"/>
      <c r="AC142" s="55"/>
      <c r="AD142" s="1"/>
      <c r="AE142" s="55"/>
      <c r="AF142" s="55"/>
      <c r="AG142" s="55"/>
      <c r="AH142" s="55"/>
      <c r="AI142" s="6"/>
      <c r="AJ142" s="55"/>
      <c r="AK142" s="55"/>
      <c r="AL142" s="55"/>
      <c r="AM142" s="55"/>
      <c r="AN142" s="1"/>
      <c r="AO142" s="55"/>
      <c r="AP142" s="55"/>
      <c r="AQ142" s="55"/>
      <c r="AR142" s="55"/>
      <c r="AS142" s="1"/>
      <c r="AT142" s="55"/>
      <c r="AU142" s="55"/>
      <c r="AV142" s="55"/>
      <c r="AW142" s="55"/>
      <c r="AX142" s="1"/>
      <c r="AY142" s="55"/>
      <c r="AZ142" s="55"/>
      <c r="BA142" s="55"/>
      <c r="BB142" s="55"/>
      <c r="BC142" s="1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</row>
    <row r="143" spans="1:66" ht="14.4" x14ac:dyDescent="0.3">
      <c r="A143" s="139">
        <v>142</v>
      </c>
      <c r="B143" s="116">
        <v>14973</v>
      </c>
      <c r="C143" s="117" t="s">
        <v>199</v>
      </c>
      <c r="D143" s="119">
        <v>278655.64</v>
      </c>
      <c r="E143" s="51">
        <f t="shared" si="35"/>
        <v>451.16278316711976</v>
      </c>
      <c r="F143" s="51">
        <f t="shared" si="36"/>
        <v>112.79069579177994</v>
      </c>
      <c r="G143" s="50">
        <v>46196</v>
      </c>
      <c r="H143" s="70">
        <v>617.63879999999995</v>
      </c>
      <c r="I143" s="118">
        <v>13517848</v>
      </c>
      <c r="J143" s="49">
        <f t="shared" si="29"/>
        <v>0</v>
      </c>
      <c r="K143" s="49">
        <f t="shared" si="30"/>
        <v>278655.64</v>
      </c>
      <c r="L143" s="51"/>
      <c r="M143" s="44"/>
      <c r="N143" s="50"/>
      <c r="O143" s="1"/>
      <c r="P143" s="51"/>
      <c r="Q143" s="1"/>
      <c r="R143" s="139"/>
      <c r="S143" s="139"/>
      <c r="T143" s="6"/>
      <c r="U143" s="139"/>
      <c r="V143" s="1"/>
      <c r="W143" s="55"/>
      <c r="X143" s="139"/>
      <c r="Y143" s="1"/>
      <c r="Z143" s="139"/>
      <c r="AA143" s="55"/>
      <c r="AB143" s="55"/>
      <c r="AC143" s="55"/>
      <c r="AD143" s="1"/>
      <c r="AE143" s="55"/>
      <c r="AF143" s="55"/>
      <c r="AG143" s="55"/>
      <c r="AH143" s="55"/>
      <c r="AI143" s="6"/>
      <c r="AJ143" s="55"/>
      <c r="AK143" s="55"/>
      <c r="AL143" s="55"/>
      <c r="AM143" s="55"/>
      <c r="AN143" s="1"/>
      <c r="AO143" s="55"/>
      <c r="AP143" s="55"/>
      <c r="AQ143" s="55"/>
      <c r="AR143" s="55"/>
      <c r="AS143" s="1"/>
      <c r="AT143" s="55"/>
      <c r="AU143" s="55"/>
      <c r="AV143" s="55"/>
      <c r="AW143" s="55"/>
      <c r="AX143" s="1"/>
      <c r="AY143" s="55"/>
      <c r="AZ143" s="55"/>
      <c r="BA143" s="55"/>
      <c r="BB143" s="55"/>
      <c r="BC143" s="1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</row>
    <row r="144" spans="1:66" ht="14.4" x14ac:dyDescent="0.3">
      <c r="A144" s="139">
        <v>143</v>
      </c>
      <c r="B144" s="116">
        <v>14954</v>
      </c>
      <c r="C144" s="117" t="s">
        <v>200</v>
      </c>
      <c r="D144" s="119">
        <v>140246.47</v>
      </c>
      <c r="E144" s="51">
        <f t="shared" si="35"/>
        <v>228.19981206601284</v>
      </c>
      <c r="F144" s="51">
        <f t="shared" si="36"/>
        <v>57.04995301650321</v>
      </c>
      <c r="G144" s="50">
        <v>46195</v>
      </c>
      <c r="H144" s="70">
        <v>614.57749999999999</v>
      </c>
      <c r="I144" s="118">
        <v>15466152</v>
      </c>
      <c r="J144" s="49">
        <f t="shared" si="29"/>
        <v>41909.910000000003</v>
      </c>
      <c r="K144" s="49">
        <f t="shared" si="30"/>
        <v>98336.56</v>
      </c>
      <c r="L144" s="51">
        <v>41909.910000000003</v>
      </c>
      <c r="M144" s="44">
        <v>603340</v>
      </c>
      <c r="N144" s="50">
        <v>46192</v>
      </c>
      <c r="O144" s="45">
        <v>605.39369999999997</v>
      </c>
      <c r="P144" s="51">
        <f t="shared" si="31"/>
        <v>69.227529126913623</v>
      </c>
      <c r="Q144" s="1"/>
      <c r="R144" s="139"/>
      <c r="S144" s="139"/>
      <c r="T144" s="6"/>
      <c r="U144" s="139"/>
      <c r="V144" s="1"/>
      <c r="W144" s="55"/>
      <c r="X144" s="139"/>
      <c r="Y144" s="1"/>
      <c r="Z144" s="139"/>
      <c r="AA144" s="55"/>
      <c r="AB144" s="55"/>
      <c r="AC144" s="55"/>
      <c r="AD144" s="1"/>
      <c r="AE144" s="55"/>
      <c r="AF144" s="55"/>
      <c r="AG144" s="55"/>
      <c r="AH144" s="55"/>
      <c r="AI144" s="6"/>
      <c r="AJ144" s="55"/>
      <c r="AK144" s="55"/>
      <c r="AL144" s="55"/>
      <c r="AM144" s="55"/>
      <c r="AN144" s="1"/>
      <c r="AO144" s="55"/>
      <c r="AP144" s="55"/>
      <c r="AQ144" s="55"/>
      <c r="AR144" s="55"/>
      <c r="AS144" s="1"/>
      <c r="AT144" s="55"/>
      <c r="AU144" s="55"/>
      <c r="AV144" s="55"/>
      <c r="AW144" s="55"/>
      <c r="AX144" s="1"/>
      <c r="AY144" s="55"/>
      <c r="AZ144" s="55"/>
      <c r="BA144" s="55"/>
      <c r="BB144" s="55"/>
      <c r="BC144" s="1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</row>
    <row r="145" spans="1:66" ht="14.4" x14ac:dyDescent="0.3">
      <c r="A145" s="139">
        <v>144</v>
      </c>
      <c r="B145" s="116">
        <v>14971</v>
      </c>
      <c r="C145" s="117" t="s">
        <v>201</v>
      </c>
      <c r="D145" s="119">
        <v>200264.6</v>
      </c>
      <c r="E145" s="51">
        <f t="shared" si="35"/>
        <v>324.24225939173516</v>
      </c>
      <c r="F145" s="51">
        <f t="shared" si="36"/>
        <v>81.06056484793379</v>
      </c>
      <c r="G145" s="50">
        <v>46196</v>
      </c>
      <c r="H145" s="70">
        <v>617.63879999999995</v>
      </c>
      <c r="I145" s="118">
        <v>13124768</v>
      </c>
      <c r="J145" s="49">
        <f t="shared" si="29"/>
        <v>60018.14</v>
      </c>
      <c r="K145" s="49">
        <f t="shared" si="30"/>
        <v>140246.46000000002</v>
      </c>
      <c r="L145" s="51">
        <v>60018.14</v>
      </c>
      <c r="M145" s="44">
        <v>348158</v>
      </c>
      <c r="N145" s="50">
        <v>46195</v>
      </c>
      <c r="O145" s="14">
        <v>614.57749999999999</v>
      </c>
      <c r="P145" s="51">
        <f t="shared" si="31"/>
        <v>97.657561495498939</v>
      </c>
      <c r="Q145" s="1"/>
      <c r="R145" s="139"/>
      <c r="S145" s="139"/>
      <c r="T145" s="6"/>
      <c r="U145" s="139"/>
      <c r="V145" s="1"/>
      <c r="W145" s="55"/>
      <c r="X145" s="139"/>
      <c r="Y145" s="1"/>
      <c r="Z145" s="139"/>
      <c r="AA145" s="55"/>
      <c r="AB145" s="55"/>
      <c r="AC145" s="55"/>
      <c r="AD145" s="1"/>
      <c r="AE145" s="55"/>
      <c r="AF145" s="55"/>
      <c r="AG145" s="55"/>
      <c r="AH145" s="55"/>
      <c r="AI145" s="6"/>
      <c r="AJ145" s="55"/>
      <c r="AK145" s="55"/>
      <c r="AL145" s="55"/>
      <c r="AM145" s="55"/>
      <c r="AN145" s="1"/>
      <c r="AO145" s="55"/>
      <c r="AP145" s="55"/>
      <c r="AQ145" s="55"/>
      <c r="AR145" s="55"/>
      <c r="AS145" s="1"/>
      <c r="AT145" s="55"/>
      <c r="AU145" s="55"/>
      <c r="AV145" s="55"/>
      <c r="AW145" s="55"/>
      <c r="AX145" s="1"/>
      <c r="AY145" s="55"/>
      <c r="AZ145" s="55"/>
      <c r="BA145" s="55"/>
      <c r="BB145" s="55"/>
      <c r="BC145" s="1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</row>
    <row r="146" spans="1:66" ht="14.4" x14ac:dyDescent="0.3">
      <c r="A146" s="139">
        <v>145</v>
      </c>
      <c r="B146" s="116">
        <v>14970</v>
      </c>
      <c r="C146" s="117" t="s">
        <v>202</v>
      </c>
      <c r="D146" s="119">
        <v>94497.39</v>
      </c>
      <c r="E146" s="51">
        <f t="shared" si="35"/>
        <v>152.99782008513716</v>
      </c>
      <c r="F146" s="51">
        <f t="shared" si="36"/>
        <v>38.249455021284291</v>
      </c>
      <c r="G146" s="50">
        <v>46196</v>
      </c>
      <c r="H146" s="70">
        <v>617.63879999999995</v>
      </c>
      <c r="I146" s="118">
        <v>13165184</v>
      </c>
      <c r="J146" s="49">
        <f t="shared" si="29"/>
        <v>28171.78</v>
      </c>
      <c r="K146" s="49">
        <f t="shared" si="30"/>
        <v>66325.61</v>
      </c>
      <c r="L146" s="51">
        <v>28171.78</v>
      </c>
      <c r="M146" s="44">
        <v>580950</v>
      </c>
      <c r="N146" s="50">
        <v>46195</v>
      </c>
      <c r="O146" s="14">
        <v>614.57749999999999</v>
      </c>
      <c r="P146" s="51">
        <f t="shared" si="31"/>
        <v>45.83926355911175</v>
      </c>
      <c r="Q146" s="1"/>
      <c r="R146" s="139"/>
      <c r="S146" s="139"/>
      <c r="T146" s="6"/>
      <c r="U146" s="139"/>
      <c r="V146" s="1"/>
      <c r="W146" s="55"/>
      <c r="X146" s="139"/>
      <c r="Y146" s="1"/>
      <c r="Z146" s="139"/>
      <c r="AA146" s="55"/>
      <c r="AB146" s="55"/>
      <c r="AC146" s="55"/>
      <c r="AD146" s="1"/>
      <c r="AE146" s="55"/>
      <c r="AF146" s="55"/>
      <c r="AG146" s="55"/>
      <c r="AH146" s="55"/>
      <c r="AI146" s="6"/>
      <c r="AJ146" s="55"/>
      <c r="AK146" s="55"/>
      <c r="AL146" s="55"/>
      <c r="AM146" s="55"/>
      <c r="AN146" s="1"/>
      <c r="AO146" s="55"/>
      <c r="AP146" s="55"/>
      <c r="AQ146" s="55"/>
      <c r="AR146" s="55"/>
      <c r="AS146" s="1"/>
      <c r="AT146" s="55"/>
      <c r="AU146" s="55"/>
      <c r="AV146" s="55"/>
      <c r="AW146" s="55"/>
      <c r="AX146" s="1"/>
      <c r="AY146" s="55"/>
      <c r="AZ146" s="55"/>
      <c r="BA146" s="55"/>
      <c r="BB146" s="55"/>
      <c r="BC146" s="1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</row>
    <row r="147" spans="1:66" ht="14.4" x14ac:dyDescent="0.3">
      <c r="A147" s="139">
        <v>146</v>
      </c>
      <c r="B147" s="116">
        <v>14972</v>
      </c>
      <c r="C147" s="117" t="s">
        <v>203</v>
      </c>
      <c r="D147" s="119">
        <v>14205.49</v>
      </c>
      <c r="E147" s="51">
        <f t="shared" si="35"/>
        <v>22.999672300380094</v>
      </c>
      <c r="F147" s="51">
        <f t="shared" si="36"/>
        <v>5.7499180750950236</v>
      </c>
      <c r="G147" s="50">
        <v>46196</v>
      </c>
      <c r="H147" s="70">
        <v>617.63879999999995</v>
      </c>
      <c r="I147" s="118">
        <v>17578855</v>
      </c>
      <c r="J147" s="49">
        <f t="shared" si="29"/>
        <v>0</v>
      </c>
      <c r="K147" s="49">
        <f t="shared" si="30"/>
        <v>14205.49</v>
      </c>
      <c r="L147" s="51"/>
      <c r="M147" s="44"/>
      <c r="N147" s="55"/>
      <c r="O147" s="1"/>
      <c r="P147" s="51"/>
      <c r="Q147" s="1"/>
      <c r="R147" s="139"/>
      <c r="S147" s="139"/>
      <c r="T147" s="6"/>
      <c r="U147" s="139"/>
      <c r="V147" s="1"/>
      <c r="W147" s="55"/>
      <c r="X147" s="139"/>
      <c r="Y147" s="1"/>
      <c r="Z147" s="139"/>
      <c r="AA147" s="55"/>
      <c r="AB147" s="55"/>
      <c r="AC147" s="55"/>
      <c r="AD147" s="1"/>
      <c r="AE147" s="55"/>
      <c r="AF147" s="55"/>
      <c r="AG147" s="55"/>
      <c r="AH147" s="55"/>
      <c r="AI147" s="6"/>
      <c r="AJ147" s="55"/>
      <c r="AK147" s="55"/>
      <c r="AL147" s="55"/>
      <c r="AM147" s="55"/>
      <c r="AN147" s="1"/>
      <c r="AO147" s="55"/>
      <c r="AP147" s="55"/>
      <c r="AQ147" s="55"/>
      <c r="AR147" s="55"/>
      <c r="AS147" s="1"/>
      <c r="AT147" s="55"/>
      <c r="AU147" s="55"/>
      <c r="AV147" s="55"/>
      <c r="AW147" s="55"/>
      <c r="AX147" s="1"/>
      <c r="AY147" s="55"/>
      <c r="AZ147" s="55"/>
      <c r="BA147" s="55"/>
      <c r="BB147" s="55"/>
      <c r="BC147" s="1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</row>
    <row r="148" spans="1:66" ht="14.4" x14ac:dyDescent="0.3">
      <c r="A148" s="139">
        <v>147</v>
      </c>
      <c r="B148" s="41">
        <v>14357</v>
      </c>
      <c r="C148" s="117" t="s">
        <v>204</v>
      </c>
      <c r="D148" s="119">
        <v>28883.43</v>
      </c>
      <c r="E148" s="51">
        <f t="shared" si="35"/>
        <v>57.713694144953671</v>
      </c>
      <c r="F148" s="51">
        <f t="shared" si="36"/>
        <v>14.428423536238418</v>
      </c>
      <c r="G148" s="50">
        <v>46153</v>
      </c>
      <c r="H148" s="70">
        <v>500.4606</v>
      </c>
      <c r="I148" s="118">
        <v>18716174</v>
      </c>
      <c r="J148" s="49">
        <f t="shared" si="29"/>
        <v>0</v>
      </c>
      <c r="K148" s="49">
        <f t="shared" si="30"/>
        <v>28883.43</v>
      </c>
      <c r="L148" s="51"/>
      <c r="M148" s="44"/>
      <c r="N148" s="55"/>
      <c r="O148" s="1"/>
      <c r="P148" s="51"/>
      <c r="Q148" s="1"/>
      <c r="R148" s="139"/>
      <c r="S148" s="139"/>
      <c r="T148" s="6"/>
      <c r="U148" s="139"/>
      <c r="V148" s="1"/>
      <c r="W148" s="55"/>
      <c r="X148" s="139"/>
      <c r="Y148" s="1"/>
      <c r="Z148" s="139"/>
      <c r="AA148" s="55"/>
      <c r="AB148" s="55"/>
      <c r="AC148" s="55"/>
      <c r="AD148" s="1"/>
      <c r="AE148" s="55"/>
      <c r="AF148" s="55"/>
      <c r="AG148" s="55"/>
      <c r="AH148" s="55"/>
      <c r="AI148" s="6"/>
      <c r="AJ148" s="55"/>
      <c r="AK148" s="55"/>
      <c r="AL148" s="55"/>
      <c r="AM148" s="55"/>
      <c r="AN148" s="1"/>
      <c r="AO148" s="55"/>
      <c r="AP148" s="55"/>
      <c r="AQ148" s="55"/>
      <c r="AR148" s="55"/>
      <c r="AS148" s="1"/>
      <c r="AT148" s="55"/>
      <c r="AU148" s="55"/>
      <c r="AV148" s="55"/>
      <c r="AW148" s="55"/>
      <c r="AX148" s="1"/>
      <c r="AY148" s="55"/>
      <c r="AZ148" s="55"/>
      <c r="BA148" s="55"/>
      <c r="BB148" s="55"/>
      <c r="BC148" s="1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</row>
    <row r="149" spans="1:66" ht="14.4" x14ac:dyDescent="0.3">
      <c r="A149" s="139">
        <v>148</v>
      </c>
      <c r="B149" s="41">
        <v>14388</v>
      </c>
      <c r="C149" s="117" t="s">
        <v>205</v>
      </c>
      <c r="D149" s="119">
        <v>140373.6</v>
      </c>
      <c r="E149" s="51"/>
      <c r="F149" s="51"/>
      <c r="G149" s="50">
        <v>46155</v>
      </c>
      <c r="H149" s="70">
        <v>0</v>
      </c>
      <c r="I149" s="118">
        <v>20836764</v>
      </c>
      <c r="J149" s="49">
        <f t="shared" si="29"/>
        <v>0</v>
      </c>
      <c r="K149" s="49">
        <f t="shared" si="30"/>
        <v>140373.6</v>
      </c>
      <c r="L149" s="51"/>
      <c r="M149" s="44"/>
      <c r="N149" s="55"/>
      <c r="O149" s="1"/>
      <c r="P149" s="51"/>
      <c r="Q149" s="1"/>
      <c r="R149" s="139"/>
      <c r="S149" s="139"/>
      <c r="T149" s="6"/>
      <c r="U149" s="139"/>
      <c r="V149" s="1"/>
      <c r="W149" s="55"/>
      <c r="X149" s="139"/>
      <c r="Y149" s="1"/>
      <c r="Z149" s="139"/>
      <c r="AA149" s="55"/>
      <c r="AB149" s="55"/>
      <c r="AC149" s="55"/>
      <c r="AD149" s="1"/>
      <c r="AE149" s="55"/>
      <c r="AF149" s="55"/>
      <c r="AG149" s="55"/>
      <c r="AH149" s="55"/>
      <c r="AI149" s="6"/>
      <c r="AJ149" s="55"/>
      <c r="AK149" s="55"/>
      <c r="AL149" s="55"/>
      <c r="AM149" s="55"/>
      <c r="AN149" s="1"/>
      <c r="AO149" s="55"/>
      <c r="AP149" s="55"/>
      <c r="AQ149" s="55"/>
      <c r="AR149" s="55"/>
      <c r="AS149" s="1"/>
      <c r="AT149" s="55"/>
      <c r="AU149" s="55"/>
      <c r="AV149" s="55"/>
      <c r="AW149" s="55"/>
      <c r="AX149" s="1"/>
      <c r="AY149" s="55"/>
      <c r="AZ149" s="55"/>
      <c r="BA149" s="55"/>
      <c r="BB149" s="55"/>
      <c r="BC149" s="1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</row>
    <row r="150" spans="1:66" ht="14.4" x14ac:dyDescent="0.3">
      <c r="A150" s="139">
        <v>149</v>
      </c>
      <c r="B150" s="41">
        <v>14645</v>
      </c>
      <c r="C150" s="117" t="s">
        <v>206</v>
      </c>
      <c r="D150" s="119">
        <v>151192.5</v>
      </c>
      <c r="E150" s="51">
        <f t="shared" si="35"/>
        <v>276.38239181341066</v>
      </c>
      <c r="F150" s="51">
        <f t="shared" si="36"/>
        <v>69.095597953352666</v>
      </c>
      <c r="G150" s="50">
        <v>46171</v>
      </c>
      <c r="H150" s="70">
        <v>547.04100000000005</v>
      </c>
      <c r="I150" s="118">
        <v>17775169</v>
      </c>
      <c r="J150" s="49">
        <f t="shared" si="29"/>
        <v>0</v>
      </c>
      <c r="K150" s="49">
        <f t="shared" si="30"/>
        <v>151192.5</v>
      </c>
      <c r="L150" s="51"/>
      <c r="M150" s="44"/>
      <c r="N150" s="55"/>
      <c r="O150" s="1"/>
      <c r="P150" s="51"/>
      <c r="Q150" s="1"/>
      <c r="R150" s="139"/>
      <c r="S150" s="139"/>
      <c r="T150" s="6"/>
      <c r="U150" s="139"/>
      <c r="V150" s="1"/>
      <c r="W150" s="55"/>
      <c r="X150" s="139"/>
      <c r="Y150" s="1"/>
      <c r="Z150" s="139"/>
      <c r="AA150" s="55"/>
      <c r="AB150" s="55"/>
      <c r="AC150" s="55"/>
      <c r="AD150" s="1"/>
      <c r="AE150" s="55"/>
      <c r="AF150" s="55"/>
      <c r="AG150" s="55"/>
      <c r="AH150" s="55"/>
      <c r="AI150" s="6"/>
      <c r="AJ150" s="55"/>
      <c r="AK150" s="55"/>
      <c r="AL150" s="55"/>
      <c r="AM150" s="55"/>
      <c r="AN150" s="1"/>
      <c r="AO150" s="55"/>
      <c r="AP150" s="55"/>
      <c r="AQ150" s="55"/>
      <c r="AR150" s="55"/>
      <c r="AS150" s="1"/>
      <c r="AT150" s="55"/>
      <c r="AU150" s="55"/>
      <c r="AV150" s="55"/>
      <c r="AW150" s="55"/>
      <c r="AX150" s="1"/>
      <c r="AY150" s="55"/>
      <c r="AZ150" s="55"/>
      <c r="BA150" s="55"/>
      <c r="BB150" s="55"/>
      <c r="BC150" s="1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</row>
    <row r="151" spans="1:66" ht="14.4" x14ac:dyDescent="0.3">
      <c r="A151" s="42">
        <v>150</v>
      </c>
      <c r="B151" s="132">
        <v>14910</v>
      </c>
      <c r="C151" s="133" t="s">
        <v>207</v>
      </c>
      <c r="D151" s="134">
        <v>66858.63</v>
      </c>
      <c r="E151" s="51">
        <f t="shared" si="35"/>
        <v>110.99955771929254</v>
      </c>
      <c r="F151" s="51">
        <f t="shared" si="36"/>
        <v>27.749889429823135</v>
      </c>
      <c r="G151" s="120">
        <v>46191</v>
      </c>
      <c r="H151" s="70">
        <v>602.33240000000001</v>
      </c>
      <c r="I151" s="135">
        <v>20016127</v>
      </c>
      <c r="J151" s="136">
        <f t="shared" si="29"/>
        <v>0</v>
      </c>
      <c r="K151" s="136">
        <f t="shared" si="30"/>
        <v>66858.63</v>
      </c>
      <c r="L151" s="137"/>
      <c r="M151" s="138"/>
      <c r="P151" s="137"/>
    </row>
    <row r="152" spans="1:66" x14ac:dyDescent="0.25">
      <c r="B152" s="58"/>
      <c r="G152" s="58"/>
      <c r="H152" s="58"/>
    </row>
  </sheetData>
  <autoFilter ref="B1:BO131" xr:uid="{00000000-0009-0000-0000-000000000000}"/>
  <conditionalFormatting sqref="B1:B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66"/>
  <sheetViews>
    <sheetView workbookViewId="0">
      <selection activeCell="B1" sqref="B1:B17"/>
    </sheetView>
  </sheetViews>
  <sheetFormatPr baseColWidth="10" defaultRowHeight="14.4" x14ac:dyDescent="0.3"/>
  <cols>
    <col min="2" max="2" width="9.5546875" style="42" customWidth="1"/>
  </cols>
  <sheetData>
    <row r="1" spans="2:2" x14ac:dyDescent="0.3">
      <c r="B1" s="116">
        <v>13006</v>
      </c>
    </row>
    <row r="2" spans="2:2" x14ac:dyDescent="0.3">
      <c r="B2" s="116">
        <v>13299</v>
      </c>
    </row>
    <row r="3" spans="2:2" x14ac:dyDescent="0.3">
      <c r="B3" s="116">
        <v>13319</v>
      </c>
    </row>
    <row r="4" spans="2:2" x14ac:dyDescent="0.3">
      <c r="B4" s="116">
        <v>13798</v>
      </c>
    </row>
    <row r="5" spans="2:2" x14ac:dyDescent="0.3">
      <c r="B5" s="116">
        <v>13799</v>
      </c>
    </row>
    <row r="6" spans="2:2" x14ac:dyDescent="0.3">
      <c r="B6" s="116">
        <v>14728</v>
      </c>
    </row>
    <row r="7" spans="2:2" x14ac:dyDescent="0.3">
      <c r="B7" s="116">
        <v>14693</v>
      </c>
    </row>
    <row r="8" spans="2:2" x14ac:dyDescent="0.3">
      <c r="B8" s="116">
        <v>14851</v>
      </c>
    </row>
    <row r="9" spans="2:2" x14ac:dyDescent="0.3">
      <c r="B9" s="116">
        <v>14908</v>
      </c>
    </row>
    <row r="10" spans="2:2" x14ac:dyDescent="0.3">
      <c r="B10" s="116">
        <v>14909</v>
      </c>
    </row>
    <row r="11" spans="2:2" x14ac:dyDescent="0.3">
      <c r="B11" s="116">
        <v>14956</v>
      </c>
    </row>
    <row r="12" spans="2:2" x14ac:dyDescent="0.3">
      <c r="B12" s="116">
        <v>14955</v>
      </c>
    </row>
    <row r="13" spans="2:2" x14ac:dyDescent="0.3">
      <c r="B13" s="116">
        <v>14973</v>
      </c>
    </row>
    <row r="14" spans="2:2" x14ac:dyDescent="0.3">
      <c r="B14" s="116">
        <v>14954</v>
      </c>
    </row>
    <row r="15" spans="2:2" x14ac:dyDescent="0.3">
      <c r="B15" s="116">
        <v>14971</v>
      </c>
    </row>
    <row r="16" spans="2:2" x14ac:dyDescent="0.3">
      <c r="B16" s="116">
        <v>14970</v>
      </c>
    </row>
    <row r="17" spans="2:2" x14ac:dyDescent="0.3">
      <c r="B17" s="116">
        <v>14972</v>
      </c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</sheetData>
  <conditionalFormatting sqref="B1:B1048576">
    <cfRule type="duplicateValues" dxfId="0" priority="1"/>
  </conditionalFormatting>
  <hyperlinks>
    <hyperlink ref="B10" r:id="rId1" display="http://192.168.21.32/facturacion.php/fafactur/edit/id/34500" xr:uid="{00000000-0004-0000-0100-000000000000}"/>
    <hyperlink ref="B14" r:id="rId2" display="http://192.168.21.32/facturacion.php/fafactur/edit/id/34559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 CARACAS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TESORERIA3</dc:creator>
  <cp:lastModifiedBy>jhonny osorio lopez</cp:lastModifiedBy>
  <cp:lastPrinted>2026-06-22T16:24:52Z</cp:lastPrinted>
  <dcterms:created xsi:type="dcterms:W3CDTF">2026-06-18T19:47:44Z</dcterms:created>
  <dcterms:modified xsi:type="dcterms:W3CDTF">2026-07-13T18:57:11Z</dcterms:modified>
</cp:coreProperties>
</file>